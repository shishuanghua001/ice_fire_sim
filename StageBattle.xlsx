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</sheets>
  <definedNames>
    <definedName name="_xlnm._FilterDatabase" localSheetId="4" hidden="1">Sheet5!$A$1:$M$221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<sst xmlns="http://schemas.openxmlformats.org/spreadsheetml/2006/main" count="1599" uniqueCount="488">
  <si>
    <t>id</t>
  </si>
  <si>
    <t>monsterTeam</t>
  </si>
  <si>
    <t>dialogue</t>
  </si>
  <si>
    <t>addATK</t>
  </si>
  <si>
    <t>addHP</t>
  </si>
  <si>
    <t>monsterWave</t>
  </si>
  <si>
    <t>mosterWaveATT</t>
  </si>
  <si>
    <t>mosterWaveHP</t>
  </si>
  <si>
    <t>coin</t>
  </si>
  <si>
    <t>bossWave</t>
  </si>
  <si>
    <t>int</t>
  </si>
  <si>
    <t>string</t>
  </si>
  <si>
    <t>关卡id</t>
  </si>
  <si>
    <t>怪物组</t>
  </si>
  <si>
    <t>对白</t>
  </si>
  <si>
    <t>本关怪物攻击加成（百分比）</t>
  </si>
  <si>
    <t>本关怪物血量加成（百分比）</t>
  </si>
  <si>
    <t>怪物波次(怪物组id,出怪数量，出怪间隔，单次最小出怪数量，单次最大出怪数量）</t>
  </si>
  <si>
    <t>波次攻击加成</t>
  </si>
  <si>
    <t>波次血量加成</t>
  </si>
  <si>
    <t>消灭单只怪物获取银币数量</t>
  </si>
  <si>
    <t>首领波次（出现波次，怪物id，奖励银币，转盘组id，是否boss）</t>
  </si>
  <si>
    <t>1,2,3</t>
  </si>
  <si>
    <t>1,4,1.5,1,1;1,6,1.2,1,1;1,8,1.2,1,1;1,10,1.1,1,2;1,12,1.1,1,2;1+2,14,1,1,2;1+2,15+8,1,2,3;1+2,17+9,1,3,4;1+2,20+10,0.9,3,4;1+2,22+12,0.9,3,4;1+2,27+20,0.9,3,4;1+2,30+23,0.9,3,4;1+2+3,32+24+3,0.8,3,4;1+2+3,30+25+8,0.8,3,4;1+2+3,35+25+12,0.8,4,5;1+2+3,40+28+15,0.7,4,5;1+2+3,45+30+20,0.7,4,5;1+2+3,50+35+22,0.6,4,6;1+2+3,53+38+28,0.5,5,6;1+2+3,58+40+33,0.5,5,6;</t>
  </si>
  <si>
    <t>0,0,0,0,0,10,10,10,10,10,20,20,20,20,20,30,30,30,30,30</t>
  </si>
  <si>
    <t>0,0,0,0,0,0,0,0,0,10,10,10,20,20,20,20,30,30,30,30</t>
  </si>
  <si>
    <t>5,2,6</t>
  </si>
  <si>
    <t>5,4,1.5,1,1;5,6,1.2,1,1;5,8,1.2,1,1;5,10,1.1,1,2;5,12,1.1,1,2;5+2,14,1,1,2;5+2,15+8,1,2,3;5+2,17+9,1,3,4;5+2,20+10,0.9,3,4;5+2,22+12,0.9,3,4;5+2,27+20,0.9,3,4;5+2,30+23,0.9,3,4;5+2+6,32+24+3,0.8,3,4;5+2+6,30+25+8,0.8,3,4;5+2+6,35+25+12,0.8,4,5;5+2+6,40+28+15,0.7,4,5;5+2+6,45+30+20,0.7,4,5;5+2+6,50+35+22,0.6,4,6;5+2+6,53+38+28,0.5,5,6;5+2+6,58+40+33,0.5,5,6;</t>
  </si>
  <si>
    <t>0,5,10,20,30,40,50,60,70,80,90,100,110,120,130,140,150,160,180,200</t>
  </si>
  <si>
    <t>7,101,50,1;15,201,100,2</t>
  </si>
  <si>
    <t>7,9,11</t>
  </si>
  <si>
    <t>1,2,3,4,5,6,7,8,9,10</t>
  </si>
  <si>
    <t>7,4,1.5,1,1;7,6,1.2,1,1;7,8,1.2,1,1;7,10,1.1,1,2;7,12,1.1,1,2;7+9,14,1,1,2;7+9,15+8,1,2,3;7+9,17+9,1,3,4;7+9,20+10,0.9,3,4;7+9,22+12,0.9,3,4;7+9,27+20,0.9,3,4;7+9,30+23,0.9,3,4;7+9+11,32+24+3,0.8,3,4;7+9+11,30+25+8,0.8,3,4;7+9+11,35+25+12,0.8,4,5;7+9+11,40+28+15,0.7,4,5;7+9+11,45+30+20,0.7,4,5;7+9+11,50+35+22,0.6,4,6;7+9+11,53+38+28,0.5,5,6;7+9+11,58+40+33,0.5,5,6;</t>
  </si>
  <si>
    <t>0,10,20,30,40,50,60,70,80,90,100,110,120,135,150,165,180,200,220,250</t>
  </si>
  <si>
    <t>7,102,50,1;15,202,100,2</t>
  </si>
  <si>
    <t>13,12,10</t>
  </si>
  <si>
    <t>13,4,1.5,1,1;13,6,1.2,1,1;13,8,1.2,1,1;13,10,1.1,1,2;13,12,1.1,1,2;13+12,14,1,1,2;13+12,15+8,1,2,3;13+12,17+9,1,3,4;13+12,20+10,0.9,3,4;13+12,22+12,0.9,3,4;13+12,27+20,0.9,3,4;13+12,30+23,0.9,3,4;13+12+10,32+24+3,0.8,3,4;13+12+10,30+25+8,0.8,3,4;13+12+10,35+25+12,0.8,4,5;13+12+10,40+28+15,0.7,4,5;13+12+10,45+30+20,0.7,4,5;13+12+10,50+35+22,0.6,4,6;13+12+10,53+38+28,0.5,5,6;13+12+10,58+40+33,0.5,5,6;</t>
  </si>
  <si>
    <t>7,101,50,1;15,203,100,2</t>
  </si>
  <si>
    <t>21,15,8</t>
  </si>
  <si>
    <t>21,4,1.5,1,1;21,6,1.2,1,1;21,8,1.2,1,1;21,10,1.1,1,2;21,12,1.1,1,2;21+15,14,1,1,2;21+15,15+8,1,2,3;21+15,17+9,1,3,4;21+15,20+10,0.9,3,4;21+15,22+12,0.9,3,4;21+15,27+20,0.9,3,4;21+15,30+23,0.9,3,4;21+15+8,32+24+3,0.8,3,4;21+15+8,30+25+8,0.8,3,4;21+15+8,35+25+12,0.8,4,5;21+15+8,40+28+15,0.7,4,5;21+15+8,45+30+20,0.7,4,5;21+15+8,50+35+22,0.6,4,6;21+15+8,53+38+28,0.5,5,6;21+15+8,58+40+33,0.5,5,6;</t>
  </si>
  <si>
    <t>7,102,50,1;15,201,100,2</t>
  </si>
  <si>
    <t>16,20,23</t>
  </si>
  <si>
    <t>16,4,1.5,1,1;16,6,1.2,1,1;16,8,1.2,1,1;16,10,1.1,1,2;16,12,1.1,1,2;16+20,14,1,1,2;16+20,15+8,1,2,3;16+20,17+9,1,3,4;16+20,20+10,0.9,3,4;16+20,22+12,0.9,3,4;16+20,27+20,0.9,3,4;16+20,30+23,0.9,3,4;16+20+23,32+24+3,0.8,3,4;16+20+23,30+25+8,0.8,3,4;16+20+23,35+25+12,0.8,4,5;16+20+23,40+28+15,0.7,4,5;16+20+23,45+30+20,0.7,4,5;16+20+23,50+35+22,0.6,4,6;16+20+23,53+38+28,0.5,5,6;16+20+23,58+40+33,0.5,5,6;</t>
  </si>
  <si>
    <t>7,101,50,1;15,202,100,2</t>
  </si>
  <si>
    <t>17,14,26</t>
  </si>
  <si>
    <t>17,4,1.5,1,1;17,6,1.2,1,1;17,8,1.2,1,1;17,10,1.1,1,2;17,12,1.1,1,2;17+14,14,1,1,2;17+14,15+8,1,2,3;17+14,17+9,1,3,4;17+14,20+10,0.9,3,4;17+14,22+12,0.9,3,4;17+14,27+20,0.9,3,4;17+14,30+23,0.9,3,4;17+14+26,32+24+3,0.8,3,4;17+14+26,30+25+8,0.8,3,4;17+14+26,35+25+12,0.8,4,5;17+14+26,40+28+15,0.7,4,5;17+14+26,45+30+20,0.7,4,5;17+14+26,50+35+22,0.6,4,6;17+14+26,53+38+28,0.5,5,6;17+14+26,58+40+33,0.5,5,6;</t>
  </si>
  <si>
    <t>7,102,50,1;15,203,100,2</t>
  </si>
  <si>
    <t>18,22,28</t>
  </si>
  <si>
    <t>18,4,1.5,1,1;18,6,1.2,1,1;18,8,1.2,1,1;18,10,1.1,1,2;18,12,1.1,1,2;18+22,14,1,1,2;18+22,15+8,1,2,3;18+22,17+9,1,3,4;18+22,20+10,0.9,3,4;18+22,22+12,0.9,3,4;18+22,27+20,0.9,3,4;18+22,30+23,0.9,3,4;18+22+28,32+24+3,0.8,3,4;18+22+28,30+25+8,0.8,3,4;18+22+28,35+25+12,0.8,4,5;18+22+28,40+28+15,0.7,4,5;18+22+28,45+30+20,0.7,4,5;18+22+28,50+35+22,0.6,4,6;18+22+28,53+38+28,0.5,5,6;18+22+28,58+40+33,0.5,5,6;</t>
  </si>
  <si>
    <t>19,24,3</t>
  </si>
  <si>
    <t>19,4,1.5,1,1;19,6,1.2,1,1;19,8,1.2,1,1;19,10,1.1,1,2;19,12,1.1,1,2;19+24,14,1,1,2;19+24,15+8,1,2,3;19+24,17+9,1,3,4;19+24,20+10,0.9,3,4;19+24,22+12,0.9,3,4;19+24,27+20,0.9,3,4;19+24,30+23,0.9,3,4;19+24+3,32+24+3,0.8,3,4;19+24+3,30+25+8,0.8,3,4;19+24+3,35+25+12,0.8,4,5;19+24+3,40+28+15,0.7,4,5;19+24+3,45+30+20,0.7,4,5;19+24+3,50+35+22,0.6,4,6;19+24+3,53+38+28,0.5,5,6;19+24+3,58+40+33,0.5,5,6;</t>
  </si>
  <si>
    <t>1,25,6</t>
  </si>
  <si>
    <t>1,4,1.5,1,1;1,6,1.2,1,1;1,8,1.2,1,1;1,10,1.1,1,2;1,12,1.1,1,2;1+25,14,1,1,2;1+25,15+8,1,2,3;1+25,17+9,1,3,4;1+25,20+10,0.9,3,4;1+25,22+12,0.9,3,4;1+25,27+20,0.9,3,4;1+25,30+23,0.9,3,4;1+25+6,32+24+3,0.8,3,4;1+25+6,30+25+8,0.8,3,4;1+25+6,35+25+12,0.8,4,5;1+25+6,40+28+15,0.7,4,5;1+25+6,45+30+20,0.7,4,5;1+25+6,50+35+22,0.6,4,6;1+25+6,53+38+28,0.5,5,6;1+25+6,58+40+33,0.5,5,6;</t>
  </si>
  <si>
    <t>0,10,20,30,40,50,60,70,80,90,100,115,130,145,160,180,200,230,260,300</t>
  </si>
  <si>
    <t>5,27,8</t>
  </si>
  <si>
    <t>5,4,1.5,1,1;5,6,1.2,1,1;5,8,1.2,1,1;5,10,1.1,1,2;5,12,1.1,1,2;5+27,14,1,1,2;5+27,15+8,1,2,3;5+27,17+9,1,3,4;5+27,20+10,0.9,3,4;5+27,22+12,0.9,3,4;5+27,27+20,0.9,3,4;5+27,30+23,0.9,3,4;5+27+8,32+24+3,0.8,3,4;5+27+8,30+25+8,0.8,3,4;5+27+8,35+25+12,0.8,4,5;5+27+8,40+28+15,0.7,4,5;5+27+8,45+30+20,0.7,4,5;5+27+8,50+35+22,0.6,4,6;5+27+8,53+38+28,0.5,5,6;5+27+8,58+40+33,0.5,5,6;</t>
  </si>
  <si>
    <t>7,2,10</t>
  </si>
  <si>
    <t>7,4,1.5,1,1;7,6,1.2,1,1;7,8,1.2,1,1;7,10,1.1,1,2;7,12,1.1,1,2;7+2,14,1,1,2;7+2,15+8,1,2,3;7+2,17+9,1,3,4;7+2,20+10,0.9,3,4;7+2,22+12,0.9,3,4;7+2,27+20,0.9,3,4;7+2,30+23,0.9,3,4;7+2+10,32+24+3,0.8,3,4;7+2+10,30+25+8,0.8,3,4;7+2+10,35+25+12,0.8,4,5;7+2+10,40+28+15,0.7,4,5;7+2+10,45+30+20,0.7,4,5;7+2+10,50+35+22,0.6,4,6;7+2+10,53+38+28,0.5,5,6;7+2+10,58+40+33,0.5,5,6;</t>
  </si>
  <si>
    <t>13,12,11</t>
  </si>
  <si>
    <t>13,4,1.5,1,1;13,6,1.2,1,1;13,8,1.2,1,1;13,10,1.1,1,2;13,12,1.1,1,2;13+12,14,1,1,2;13+12,15+8,1,2,3;13+12,17+9,1,3,4;13+12,20+10,0.9,3,4;13+12,22+12,0.9,3,4;13+12,27+20,0.9,3,4;13+12,30+23,0.9,3,4;13+12+11,32+24+3,0.8,3,4;13+12+11,30+25+8,0.8,3,4;13+12+11,35+25+12,0.8,4,5;13+12+11,40+28+15,0.7,4,5;13+12+11,45+30+20,0.7,4,5;13+12+11,50+35+22,0.6,4,6;13+12+11,53+38+28,0.5,5,6;13+12+11,58+40+33,0.5,5,6;</t>
  </si>
  <si>
    <t>13,9,23</t>
  </si>
  <si>
    <t>13,4,1.5,1,1;13,6,1.2,1,1;13,8,1.2,1,1;13,10,1.1,1,2;13,12,1.1,1,2;13+9,14,1,1,2;13+9,15+8,1,2,3;13+9,17+9,1,3,4;13+9,20+10,0.9,3,4;13+9,22+12,0.9,3,4;13+9,27+20,0.9,3,4;13+9,30+23,0.9,3,4;13+9+23,32+24+3,0.8,3,4;13+9+23,30+25+8,0.8,3,4;13+9+23,35+25+12,0.8,4,5;13+9+23,40+28+15,0.7,4,5;13+9+23,45+30+20,0.7,4,5;13+9+23,50+35+22,0.6,4,6;13+9+23,53+38+28,0.5,5,6;13+9+23,58+40+33,0.5,5,6;</t>
  </si>
  <si>
    <t>16,4,26</t>
  </si>
  <si>
    <t>16,4,1.5,1,1;16,6,1.2,1,1;16,8,1.2,1,1;16,10,1.1,1,2;16,12,1.1,1,2;16+4,14,1,1,2;16+4,15+8,1,2,3;16+4,17+9,1,3,4;16+4,20+10,0.9,3,4;16+4,22+12,0.9,3,4;16+4,27+20,0.9,3,4;16+4,30+23,0.9,3,4;16+4+26,32+24+3,0.8,3,4;16+4+26,30+25+8,0.8,3,4;16+4+26,35+25+12,0.8,4,5;16+4+26,40+28+15,0.7,4,5;16+4+26,45+30+20,0.7,4,5;16+4+26,50+35+22,0.6,4,6;16+4+26,53+38+28,0.5,5,6;16+4+26,58+40+33,0.5,5,6;</t>
  </si>
  <si>
    <t>17,16,28</t>
  </si>
  <si>
    <t>17,4,1.5,1,1;17,6,1.2,1,1;17,8,1.2,1,1;17,10,1.1,1,2;17,12,1.1,1,2;17+16,14,1,1,2;17+16,15+8,1,2,3;17+16,17+9,1,3,4;17+16,20+10,0.9,3,4;17+16,22+12,0.9,3,4;17+16,27+20,0.9,3,4;17+16,30+23,0.9,3,4;17+16+28,32+24+3,0.8,3,4;17+16+28,30+25+8,0.8,3,4;17+16+28,35+25+12,0.8,4,5;17+16+28,40+28+15,0.7,4,5;17+16+28,45+30+20,0.7,4,5;17+16+28,50+35+22,0.6,4,6;17+16+28,53+38+28,0.5,5,6;17+16+28,58+40+33,0.5,5,6;</t>
  </si>
  <si>
    <t>18,20,3</t>
  </si>
  <si>
    <t>18,4,1.5,1,1;18,6,1.2,1,1;18,8,1.2,1,1;18,10,1.1,1,2;18,12,1.1,1,2;18+20,14,1,1,2;18+20,15+8,1,2,3;18+20,17+9,1,3,4;18+20,20+10,0.9,3,4;18+20,22+12,0.9,3,4;18+20,27+20,0.9,3,4;18+20,30+23,0.9,3,4;18+20+3,32+24+3,0.8,3,4;18+20+3,30+25+8,0.8,3,4;18+20+3,35+25+12,0.8,4,5;18+20+3,40+28+15,0.7,4,5;18+20+3,45+30+20,0.7,4,5;18+20+3,50+35+22,0.6,4,6;18+20+3,53+38+28,0.5,5,6;18+20+3,58+40+33,0.5,5,6;</t>
  </si>
  <si>
    <t>19,21,6</t>
  </si>
  <si>
    <t>19,4,1.5,1,1;19,6,1.2,1,1;19,8,1.2,1,1;19,10,1.1,1,2;19,12,1.1,1,2;19+21,14,1,1,2;19+21,15+8,1,2,3;19+21,17+9,1,3,4;19+21,20+10,0.9,3,4;19+21,22+12,0.9,3,4;19+21,27+20,0.9,3,4;19+21,30+23,0.9,3,4;19+21+6,32+24+3,0.8,3,4;19+21+6,30+25+8,0.8,3,4;19+21+6,35+25+12,0.8,4,5;19+21+6,40+28+15,0.7,4,5;19+21+6,45+30+20,0.7,4,5;19+21+6,50+35+22,0.6,4,6;19+21+6,53+38+28,0.5,5,6;19+21+6,58+40+33,0.5,5,6;</t>
  </si>
  <si>
    <t>1,22,8</t>
  </si>
  <si>
    <t>1,4,1.5,1,1;1,6,1.2,1,1;1,8,1.2,1,1;1,10,1.1,1,2;1,12,1.1,1,2;1+22,14,1,1,2;1+22,15+8,1,2,3;1+22,17+9,1,3,4;1+22,20+10,0.9,3,4;1+22,22+12,0.9,3,4;1+22,27+20,0.9,3,4;1+22,30+23,0.9,3,4;1+22+8,32+24+3,0.8,3,4;1+22+8,30+25+8,0.8,3,4;1+22+8,35+25+12,0.8,4,5;1+22+8,40+28+15,0.7,4,5;1+22+8,45+30+20,0.7,4,5;1+22+8,50+35+22,0.6,4,6;1+22+8,53+38+28,0.5,5,6;1+22+8,58+40+33,0.5,5,6;</t>
  </si>
  <si>
    <t>5,24,10</t>
  </si>
  <si>
    <t>5,4,1.5,1,1;5,6,1.2,1,1;5,8,1.2,1,1;5,10,1.1,1,2;5,12,1.1,1,2;5+24,14,1,1,2;5+24,15+8,1,2,3;5+24,17+9,1,3,4;5+24,20+10,0.9,3,4;5+24,22+12,0.9,3,4;5+24,27+20,0.9,3,4;5+24,30+23,0.9,3,4;5+24+10,32+24+3,0.8,3,4;5+24+10,30+25+8,0.8,3,4;5+24+10,35+25+12,0.8,4,5;5+24+10,40+28+15,0.7,4,5;5+24+10,45+30+20,0.7,4,5;5+24+10,50+35+22,0.6,4,6;5+24+10,53+38+28,0.5,5,6;5+24+10,58+40+33,0.5,5,6;</t>
  </si>
  <si>
    <t>7,25,11</t>
  </si>
  <si>
    <t>7,4,1.5,1,1;7,6,1.2,1,1;7,8,1.2,1,1;7,10,1.1,1,2;7,12,1.1,1,2;7+25,14,1,1,2;7+25,15+8,1,2,3;7+25,17+9,1,3,4;7+25,20+10,0.9,3,4;7+25,22+12,0.9,3,4;7+25,27+20,0.9,3,4;7+25,30+23,0.9,3,4;7+25+11,32+24+3,0.8,3,4;7+25+11,30+25+8,0.8,3,4;7+25+11,35+25+12,0.8,4,5;7+25+11,40+28+15,0.7,4,5;7+25+11,45+30+20,0.7,4,5;7+25+11,50+35+22,0.6,4,6;7+25+11,53+38+28,0.5,5,6;7+25+11,58+40+33,0.5,5,6;</t>
  </si>
  <si>
    <t>13,26,23</t>
  </si>
  <si>
    <t>13,4,1.5,1,1;13,6,1.2,1,1;13,8,1.2,1,1;13,10,1.1,1,2;13,12,1.1,1,2;13+26,14,1,1,2;13+26,15+8,1,2,3;13+26,17+9,1,3,4;13+26,20+10,0.9,3,4;13+26,22+12,0.9,3,4;13+26,27+20,0.9,3,4;13+26,30+23,0.9,3,4;13+26+23,32+24+3,0.8,3,4;13+26+23,30+25+8,0.8,3,4;13+26+23,35+25+12,0.8,4,5;13+26+23,40+28+15,0.7,4,5;13+26+23,45+30+20,0.7,4,5;13+26+23,50+35+22,0.6,4,6;13+26+23,53+38+28,0.5,5,6;13+26+23,58+40+33,0.5,5,6;</t>
  </si>
  <si>
    <t>14,2,26</t>
  </si>
  <si>
    <t>14,4,1.5,1,1;14,6,1.2,1,1;14,8,1.2,1,1;14,10,1.1,1,2;14,12,1.1,1,2;14+2,14,1,1,2;14+2,15+8,1,2,3;14+2,17+9,1,3,4;14+2,20+10,0.9,3,4;14+2,22+12,0.9,3,4;14+2,27+20,0.9,3,4;14+2,30+23,0.9,3,4;14+2+26,32+24+3,0.8,3,4;14+2+26,30+25+8,0.8,3,4;14+2+26,35+25+12,0.8,4,5;14+2+26,40+28+15,0.7,4,5;14+2+26,45+30+20,0.7,4,5;14+2+26,50+35+22,0.6,4,6;14+2+26,53+38+28,0.5,5,6;14+2+26,58+40+33,0.5,5,6;</t>
  </si>
  <si>
    <t>16,5,28</t>
  </si>
  <si>
    <t>16,4,1.5,1,1;16,6,1.2,1,1;16,8,1.2,1,1;16,10,1.1,1,2;16,12,1.1,1,2;16+5,14,1,1,2;16+5,15+8,1,2,3;16+5,17+9,1,3,4;16+5,20+10,0.9,3,4;16+5,22+12,0.9,3,4;16+5,27+20,0.9,3,4;16+5,30+23,0.9,3,4;16+5+28,32+24+3,0.8,3,4;16+5+28,30+25+8,0.8,3,4;16+5+28,35+25+12,0.8,4,5;16+5+28,40+28+15,0.7,4,5;16+5+28,45+30+20,0.7,4,5;16+5+28,50+35+22,0.6,4,6;16+5+28,53+38+28,0.5,5,6;16+5+28,58+40+33,0.5,5,6;</t>
  </si>
  <si>
    <t>17,9,3</t>
  </si>
  <si>
    <t>17,4,1.5,1,1;17,6,1.2,1,1;17,8,1.2,1,1;17,10,1.1,1,2;17,12,1.1,1,2;17+9,14,1,1,2;17+9,15+8,1,2,3;17+9,17+9,1,3,4;17+9,20+10,0.9,3,4;17+9,22+12,0.9,3,4;17+9,27+20,0.9,3,4;17+9,30+23,0.9,3,4;17+9+3,32+24+3,0.8,3,4;17+9+3,30+25+8,0.8,3,4;17+9+3,35+25+12,0.8,4,5;17+9+3,40+28+15,0.7,4,5;17+9+3,45+30+20,0.7,4,5;17+9+3,50+35+22,0.6,4,6;17+9+3,53+38+28,0.5,5,6;17+9+3,58+40+33,0.5,5,6;</t>
  </si>
  <si>
    <t>18,12,6</t>
  </si>
  <si>
    <t>18,4,1.5,1,1;18,6,1.2,1,1;18,8,1.2,1,1;18,10,1.1,1,2;18,12,1.1,1,2;18+12,14,1,1,2;18+12,15+8,1,2,3;18+12,17+9,1,3,4;18+12,20+10,0.9,3,4;18+12,22+12,0.9,3,4;18+12,27+20,0.9,3,4;18+12,30+23,0.9,3,4;18+12+6,32+24+3,0.8,3,4;18+12+6,30+25+8,0.8,3,4;18+12+6,35+25+12,0.8,4,5;18+12+6,40+28+15,0.7,4,5;18+12+6,45+30+20,0.7,4,5;18+12+6,50+35+22,0.6,4,6;18+12+6,53+38+28,0.5,5,6;18+12+6,58+40+33,0.5,5,6;</t>
  </si>
  <si>
    <t>19,15,8</t>
  </si>
  <si>
    <t>19,4,1.5,1,1;19,6,1.2,1,1;19,8,1.2,1,1;19,10,1.1,1,2;19,12,1.1,1,2;19+15,14,1,1,2;19+15,15+8,1,2,3;19+15,17+9,1,3,4;19+15,20+10,0.9,3,4;19+15,22+12,0.9,3,4;19+15,27+20,0.9,3,4;19+15,30+23,0.9,3,4;19+15+8,32+24+3,0.8,3,4;19+15+8,30+25+8,0.8,3,4;19+15+8,35+25+12,0.8,4,5;19+15+8,40+28+15,0.7,4,5;19+15+8,45+30+20,0.7,4,5;19+15+8,50+35+22,0.6,4,6;19+15+8,53+38+28,0.5,5,6;19+15+8,58+40+33,0.5,5,6;</t>
  </si>
  <si>
    <t>1,20,10</t>
  </si>
  <si>
    <t>1,4,1.5,1,1;1,6,1.2,1,1;1,8,1.2,1,1;1,10,1.1,1,2;1,12,1.1,1,2;1+20,14,1,1,2;1+20,15+8,1,2,3;1+20,17+9,1,3,4;1+20,20+10,0.9,3,4;1+20,22+12,0.9,3,4;1+20,27+20,0.9,3,4;1+20,30+23,0.9,3,4;1+20+10,32+24+3,0.8,3,4;1+20+10,30+25+8,0.8,3,4;1+20+10,35+25+12,0.8,4,5;1+20+10,40+28+15,0.7,4,5;1+20+10,45+30+20,0.7,4,5;1+20+10,50+35+22,0.6,4,6;1+20+10,53+38+28,0.5,5,6;1+20+10,58+40+33,0.5,5,6;</t>
  </si>
  <si>
    <t>5,21,11</t>
  </si>
  <si>
    <t>5,4,1.5,1,1;5,6,1.2,1,1;5,8,1.2,1,1;5,10,1.1,1,2;5,12,1.1,1,2;5+21,14,1,1,2;5+21,15+8,1,2,3;5+21,17+9,1,3,4;5+21,20+10,0.9,3,4;5+21,22+12,0.9,3,4;5+21,27+20,0.9,3,4;5+21,30+23,0.9,3,4;5+21+11,32+24+3,0.8,3,4;5+21+11,30+25+8,0.8,3,4;5+21+11,35+25+12,0.8,4,5;5+21+11,40+28+15,0.7,4,5;5+21+11,45+30+20,0.7,4,5;5+21+11,50+35+22,0.6,4,6;5+21+11,53+38+28,0.5,5,6;5+21+11,58+40+33,0.5,5,6;</t>
  </si>
  <si>
    <t>7,22,23</t>
  </si>
  <si>
    <t>7,4,1.5,1,1;7,6,1.2,1,1;7,8,1.2,1,1;7,10,1.1,1,2;7,12,1.1,1,2;7+22,14,1,1,2;7+22,15+8,1,2,3;7+22,17+9,1,3,4;7+22,20+10,0.9,3,4;7+22,22+12,0.9,3,4;7+22,27+20,0.9,3,4;7+22,30+23,0.9,3,4;7+22+23,32+24+3,0.8,3,4;7+22+23,30+25+8,0.8,3,4;7+22+23,35+25+12,0.8,4,5;7+22+23,40+28+15,0.7,4,5;7+22+23,45+30+20,0.7,4,5;7+22+23,50+35+22,0.6,4,6;7+22+23,53+38+28,0.5,5,6;7+22+23,58+40+33,0.5,5,6;</t>
  </si>
  <si>
    <t>13,24,26</t>
  </si>
  <si>
    <t>13,4,1.5,1,1;13,6,1.2,1,1;13,8,1.2,1,1;13,10,1.1,1,2;13,12,1.1,1,2;13+24,14,1,1,2;13+24,15+8,1,2,3;13+24,17+9,1,3,4;13+24,20+10,0.9,3,4;13+24,22+12,0.9,3,4;13+24,27+20,0.9,3,4;13+24,30+23,0.9,3,4;13+24+26,32+24+3,0.8,3,4;13+24+26,30+25+8,0.8,3,4;13+24+26,35+25+12,0.8,4,5;13+24+26,40+28+15,0.7,4,5;13+24+26,45+30+20,0.7,4,5;13+24+26,50+35+22,0.6,4,6;13+24+26,53+38+28,0.5,5,6;13+24+26,58+40+33,0.5,5,6;</t>
  </si>
  <si>
    <t>13,25,28</t>
  </si>
  <si>
    <t>13,4,1.5,1,1;13,6,1.2,1,1;13,8,1.2,1,1;13,10,1.1,1,2;13,12,1.1,1,2;13+25,14,1,1,2;13+25,15+8,1,2,3;13+25,17+9,1,3,4;13+25,20+10,0.9,3,4;13+25,22+12,0.9,3,4;13+25,27+20,0.9,3,4;13+25,30+23,0.9,3,4;13+25+28,32+24+3,0.8,3,4;13+25+28,30+25+8,0.8,3,4;13+25+28,35+25+12,0.8,4,5;13+25+28,40+28+15,0.7,4,5;13+25+28,45+30+20,0.7,4,5;13+25+28,50+35+22,0.6,4,6;13+25+28,53+38+28,0.5,5,6;13+25+28,58+40+33,0.5,5,6;</t>
  </si>
  <si>
    <t>16,25,3</t>
  </si>
  <si>
    <t>16,4,1.5,1,1;16,6,1.2,1,1;16,8,1.2,1,1;16,10,1.1,1,2;16,12,1.1,1,2;16+25,14,1,1,2;16+25,15+8,1,2,3;16+25,17+9,1,3,4;16+25,20+10,0.9,3,4;16+25,22+12,0.9,3,4;16+25,27+20,0.9,3,4;16+25,30+23,0.9,3,4;16+25+3,32+24+3,0.8,3,4;16+25+3,30+25+8,0.8,3,4;16+25+3,35+25+12,0.8,4,5;16+25+3,40+28+15,0.7,4,5;16+25+3,45+30+20,0.7,4,5;16+25+3,50+35+22,0.6,4,6;16+25+3,53+38+28,0.5,5,6;16+25+3,58+40+33,0.5,5,6;</t>
  </si>
  <si>
    <t>17,2,6</t>
  </si>
  <si>
    <t>17,4,1.5,1,1;17,6,1.2,1,1;17,8,1.2,1,1;17,10,1.1,1,2;17,12,1.1,1,2;17+2,14,1,1,2;17+2,15+8,1,2,3;17+2,17+9,1,3,4;17+2,20+10,0.9,3,4;17+2,22+12,0.9,3,4;17+2,27+20,0.9,3,4;17+2,30+23,0.9,3,4;17+2+6,32+24+3,0.8,3,4;17+2+6,30+25+8,0.8,3,4;17+2+6,35+25+12,0.8,4,5;17+2+6,40+28+15,0.7,4,5;17+2+6,45+30+20,0.7,4,5;17+2+6,50+35+22,0.6,4,6;17+2+6,53+38+28,0.5,5,6;17+2+6,58+40+33,0.5,5,6;</t>
  </si>
  <si>
    <t>18,4,8</t>
  </si>
  <si>
    <t>18,4,1.5,1,1;18,6,1.2,1,1;18,8,1.2,1,1;18,10,1.1,1,2;18,12,1.1,1,2;18+4,14,1,1,2;18+4,15+8,1,2,3;18+4,17+9,1,3,4;18+4,20+10,0.9,3,4;18+4,22+12,0.9,3,4;18+4,27+20,0.9,3,4;18+4,30+23,0.9,3,4;18+4+8,32+24+3,0.8,3,4;18+4+8,30+25+8,0.8,3,4;18+4+8,35+25+12,0.8,4,5;18+4+8,40+28+15,0.7,4,5;18+4+8,45+30+20,0.7,4,5;18+4+8,50+35+22,0.6,4,6;18+4+8,53+38+28,0.5,5,6;18+4+8,58+40+33,0.5,5,6;</t>
  </si>
  <si>
    <t>19,9,10</t>
  </si>
  <si>
    <t>19,4,1.5,1,1;19,6,1.2,1,1;19,8,1.2,1,1;19,10,1.1,1,2;19,12,1.1,1,2;19+9,14,1,1,2;19+9,15+8,1,2,3;19+9,17+9,1,3,4;19+9,20+10,0.9,3,4;19+9,22+12,0.9,3,4;19+9,27+20,0.9,3,4;19+9,30+23,0.9,3,4;19+9+10,32+24+3,0.8,3,4;19+9+10,30+25+8,0.8,3,4;19+9+10,35+25+12,0.8,4,5;19+9+10,40+28+15,0.7,4,5;19+9+10,45+30+20,0.7,4,5;19+9+10,50+35+22,0.6,4,6;19+9+10,53+38+28,0.5,5,6;19+9+10,58+40+33,0.5,5,6;</t>
  </si>
  <si>
    <t>1,12,11</t>
  </si>
  <si>
    <t>1,4,1.5,1,1;1,6,1.2,1,1;1,8,1.2,1,1;1,10,1.1,1,2;1,12,1.1,1,2;1+12,14,1,1,2;1+12,15+8,1,2,3;1+12,17+9,1,3,4;1+12,20+10,0.9,3,4;1+12,22+12,0.9,3,4;1+12,27+20,0.9,3,4;1+12,30+23,0.9,3,4;1+12+11,32+24+3,0.8,3,4;1+12+11,30+25+8,0.8,3,4;1+12+11,35+25+12,0.8,4,5;1+12+11,40+28+15,0.7,4,5;1+12+11,45+30+20,0.7,4,5;1+12+11,50+35+22,0.6,4,6;1+12+11,53+38+28,0.5,5,6;1+12+11,58+40+33,0.5,5,6;</t>
  </si>
  <si>
    <t>5,18,23</t>
  </si>
  <si>
    <t>5,4,1.5,1,1;5,6,1.2,1,1;5,8,1.2,1,1;5,10,1.1,1,2;5,12,1.1,1,2;5+18,14,1,1,2;5+18,15+8,1,2,3;5+18,17+9,1,3,4;5+18,20+10,0.9,3,4;5+18,22+12,0.9,3,4;5+18,27+20,0.9,3,4;5+18,30+23,0.9,3,4;5+18+23,32+24+3,0.8,3,4;5+18+23,30+25+8,0.8,3,4;5+18+23,35+25+12,0.8,4,5;5+18+23,40+28+15,0.7,4,5;5+18+23,45+30+20,0.7,4,5;5+18+23,50+35+22,0.6,4,6;5+18+23,53+38+28,0.5,5,6;5+18+23,58+40+33,0.5,5,6;</t>
  </si>
  <si>
    <t>7,20,26</t>
  </si>
  <si>
    <t>7,4,1.5,1,1;7,6,1.2,1,1;7,8,1.2,1,1;7,10,1.1,1,2;7,12,1.1,1,2;7+20,14,1,1,2;7+20,15+8,1,2,3;7+20,17+9,1,3,4;7+20,20+10,0.9,3,4;7+20,22+12,0.9,3,4;7+20,27+20,0.9,3,4;7+20,30+23,0.9,3,4;7+20+26,32+24+3,0.8,3,4;7+20+26,30+25+8,0.8,3,4;7+20+26,35+25+12,0.8,4,5;7+20+26,40+28+15,0.7,4,5;7+20+26,45+30+20,0.7,4,5;7+20+26,50+35+22,0.6,4,6;7+20+26,53+38+28,0.5,5,6;7+20+26,58+40+33,0.5,5,6;</t>
  </si>
  <si>
    <t>13,21,28</t>
  </si>
  <si>
    <t>13,4,1.5,1,1;13,6,1.2,1,1;13,8,1.2,1,1;13,10,1.1,1,2;13,12,1.1,1,2;13+21,14,1,1,2;13+21,15+8,1,2,3;13+21,17+9,1,3,4;13+21,20+10,0.9,3,4;13+21,22+12,0.9,3,4;13+21,27+20,0.9,3,4;13+21,30+23,0.9,3,4;13+21+28,32+24+3,0.8,3,4;13+21+28,30+25+8,0.8,3,4;13+21+28,35+25+12,0.8,4,5;13+21+28,40+28+15,0.7,4,5;13+21+28,45+30+20,0.7,4,5;13+21+28,50+35+22,0.6,4,6;13+21+28,53+38+28,0.5,5,6;13+21+28,58+40+33,0.5,5,6;</t>
  </si>
  <si>
    <t>19,22,3</t>
  </si>
  <si>
    <t>19,4,1.5,1,1;19,6,1.2,1,1;19,8,1.2,1,1;19,10,1.1,1,2;19,12,1.1,1,2;19+22,14,1,1,2;19+22,15+8,1,2,3;19+22,17+9,1,3,4;19+22,20+10,0.9,3,4;19+22,22+12,0.9,3,4;19+22,27+20,0.9,3,4;19+22,30+23,0.9,3,4;19+22+3,32+24+3,0.8,3,4;19+22+3,30+25+8,0.8,3,4;19+22+3,35+25+12,0.8,4,5;19+22+3,40+28+15,0.7,4,5;19+22+3,45+30+20,0.7,4,5;19+22+3,50+35+22,0.6,4,6;19+22+3,53+38+28,0.5,5,6;19+22+3,58+40+33,0.5,5,6;</t>
  </si>
  <si>
    <t>16,24,6</t>
  </si>
  <si>
    <t>16,4,1.5,1,1;16,6,1.2,1,1;16,8,1.2,1,1;16,10,1.1,1,2;16,12,1.1,1,2;16+24,14,1,1,2;16+24,15+8,1,2,3;16+24,17+9,1,3,4;16+24,20+10,0.9,3,4;16+24,22+12,0.9,3,4;16+24,27+20,0.9,3,4;16+24,30+23,0.9,3,4;16+24+6,32+24+3,0.8,3,4;16+24+6,30+25+8,0.8,3,4;16+24+6,35+25+12,0.8,4,5;16+24+6,40+28+15,0.7,4,5;16+24+6,45+30+20,0.7,4,5;16+24+6,50+35+22,0.6,4,6;16+24+6,53+38+28,0.5,5,6;16+24+6,58+40+33,0.5,5,6;</t>
  </si>
  <si>
    <t>17,25,8</t>
  </si>
  <si>
    <t>17,4,1.5,1,1;17,6,1.2,1,1;17,8,1.2,1,1;17,10,1.1,1,2;17,12,1.1,1,2;17+25,14,1,1,2;17+25,15+8,1,2,3;17+25,17+9,1,3,4;17+25,20+10,0.9,3,4;17+25,22+12,0.9,3,4;17+25,27+20,0.9,3,4;17+25,30+23,0.9,3,4;17+25+8,32+24+3,0.8,3,4;17+25+8,30+25+8,0.8,3,4;17+25+8,35+25+12,0.8,4,5;17+25+8,40+28+15,0.7,4,5;17+25+8,45+30+20,0.7,4,5;17+25+8,50+35+22,0.6,4,6;17+25+8,53+38+28,0.5,5,6;17+25+8,58+40+33,0.5,5,6;</t>
  </si>
  <si>
    <t>18,20,10</t>
  </si>
  <si>
    <t>18,4,1.5,1,1;18,6,1.2,1,1;18,8,1.2,1,1;18,10,1.1,1,2;18,12,1.1,1,2;18+20,14,1,1,2;18+20,15+8,1,2,3;18+20,17+9,1,3,4;18+20,20+10,0.9,3,4;18+20,22+12,0.9,3,4;18+20,27+20,0.9,3,4;18+20,30+23,0.9,3,4;18+20+10,32+24+3,0.8,3,4;18+20+10,30+25+8,0.8,3,4;18+20+10,35+25+12,0.8,4,5;18+20+10,40+28+15,0.7,4,5;18+20+10,45+30+20,0.7,4,5;18+20+10,50+35+22,0.6,4,6;18+20+10,53+38+28,0.5,5,6;18+20+10,58+40+33,0.5,5,6;</t>
  </si>
  <si>
    <t>19,2,11</t>
  </si>
  <si>
    <t>19,4,1.5,1,1;19,6,1.2,1,1;19,8,1.2,1,1;19,10,1.1,1,2;19,12,1.1,1,2;19+2,14,1,1,2;19+2,15+8,1,2,3;19+2,17+9,1,3,4;19+2,20+10,0.9,3,4;19+2,22+12,0.9,3,4;19+2,27+20,0.9,3,4;19+2,30+23,0.9,3,4;19+2+11,32+24+3,0.8,3,4;19+2+11,30+25+8,0.8,3,4;19+2+11,35+25+12,0.8,4,5;19+2+11,40+28+15,0.7,4,5;19+2+11,45+30+20,0.7,4,5;19+2+11,50+35+22,0.6,4,6;19+2+11,53+38+28,0.5,5,6;19+2+11,58+40+33,0.5,5,6;</t>
  </si>
  <si>
    <t>1,2,23</t>
  </si>
  <si>
    <t>1,4,1.5,1,1;1,6,1.2,1,1;1,8,1.2,1,1;1,10,1.1,1,2;1,12,1.1,1,2;1+2,14,1,1,2;1+2,15+8,1,2,3;1+2,17+9,1,3,4;1+2,20+10,0.9,3,4;1+2,22+12,0.9,3,4;1+2,27+20,0.9,3,4;1+2,30+23,0.9,3,4;1+2+23,32+24+3,0.8,3,4;1+2+23,30+25+8,0.8,3,4;1+2+23,35+25+12,0.8,4,5;1+2+23,40+28+15,0.7,4,5;1+2+23,45+30+20,0.7,4,5;1+2+23,50+35+22,0.6,4,6;1+2+23,53+38+28,0.5,5,6;1+2+23,58+40+33,0.5,5,6;</t>
  </si>
  <si>
    <t>5,9,26</t>
  </si>
  <si>
    <t>5,4,1.5,1,1;5,6,1.2,1,1;5,8,1.2,1,1;5,10,1.1,1,2;5,12,1.1,1,2;5+9,14,1,1,2;5+9,15+8,1,2,3;5+9,17+9,1,3,4;5+9,20+10,0.9,3,4;5+9,22+12,0.9,3,4;5+9,27+20,0.9,3,4;5+9,30+23,0.9,3,4;5+9+26,32+24+3,0.8,3,4;5+9+26,30+25+8,0.8,3,4;5+9+26,35+25+12,0.8,4,5;5+9+26,40+28+15,0.7,4,5;5+9+26,45+30+20,0.7,4,5;5+9+26,50+35+22,0.6,4,6;5+9+26,53+38+28,0.5,5,6;5+9+26,58+40+33,0.5,5,6;</t>
  </si>
  <si>
    <t>7,12,28</t>
  </si>
  <si>
    <t>7,4,1.5,1,1;7,6,1.2,1,1;7,8,1.2,1,1;7,10,1.1,1,2;7,12,1.1,1,2;7+12,14,1,1,2;7+12,15+8,1,2,3;7+12,17+9,1,3,4;7+12,20+10,0.9,3,4;7+12,22+12,0.9,3,4;7+12,27+20,0.9,3,4;7+12,30+23,0.9,3,4;7+12+28,32+24+3,0.8,3,4;7+12+28,30+25+8,0.8,3,4;7+12+28,35+25+12,0.8,4,5;7+12+28,40+28+15,0.7,4,5;7+12+28,45+30+20,0.7,4,5;7+12+28,50+35+22,0.6,4,6;7+12+28,53+38+28,0.5,5,6;7+12+28,58+40+33,0.5,5,6;</t>
  </si>
  <si>
    <t>13,16,3</t>
  </si>
  <si>
    <t>13,4,1.5,1,1;13,6,1.2,1,1;13,8,1.2,1,1;13,10,1.1,1,2;13,12,1.1,1,2;13+16,14,1,1,2;13+16,15+8,1,2,3;13+16,17+9,1,3,4;13+16,20+10,0.9,3,4;13+16,22+12,0.9,3,4;13+16,27+20,0.9,3,4;13+16,30+23,0.9,3,4;13+16+3,32+24+3,0.8,3,4;13+16+3,30+25+8,0.8,3,4;13+16+3,35+25+12,0.8,4,5;13+16+3,40+28+15,0.7,4,5;13+16+3,45+30+20,0.7,4,5;13+16+3,50+35+22,0.6,4,6;13+16+3,53+38+28,0.5,5,6;13+16+3,58+40+33,0.5,5,6;</t>
  </si>
  <si>
    <t>14,20,6</t>
  </si>
  <si>
    <t>14,4,1.5,1,1;14,6,1.2,1,1;14,8,1.2,1,1;14,10,1.1,1,2;14,12,1.1,1,2;14+20,14,1,1,2;14+20,15+8,1,2,3;14+20,17+9,1,3,4;14+20,20+10,0.9,3,4;14+20,22+12,0.9,3,4;14+20,27+20,0.9,3,4;14+20,30+23,0.9,3,4;14+20+6,32+24+3,0.8,3,4;14+20+6,30+25+8,0.8,3,4;14+20+6,35+25+12,0.8,4,5;14+20+6,40+28+15,0.7,4,5;14+20+6,45+30+20,0.7,4,5;14+20+6,50+35+22,0.6,4,6;14+20+6,53+38+28,0.5,5,6;14+20+6,58+40+33,0.5,5,6;</t>
  </si>
  <si>
    <t>16,21,8</t>
  </si>
  <si>
    <t>16,4,1.5,1,1;16,6,1.2,1,1;16,8,1.2,1,1;16,10,1.1,1,2;16,12,1.1,1,2;16+21,14,1,1,2;16+21,15+8,1,2,3;16+21,17+9,1,3,4;16+21,20+10,0.9,3,4;16+21,22+12,0.9,3,4;16+21,27+20,0.9,3,4;16+21,30+23,0.9,3,4;16+21+8,32+24+3,0.8,3,4;16+21+8,30+25+8,0.8,3,4;16+21+8,35+25+12,0.8,4,5;16+21+8,40+28+15,0.7,4,5;16+21+8,45+30+20,0.7,4,5;16+21+8,50+35+22,0.6,4,6;16+21+8,53+38+28,0.5,5,6;16+21+8,58+40+33,0.5,5,6;</t>
  </si>
  <si>
    <t>17,22,10</t>
  </si>
  <si>
    <t>17,4,1.5,1,1;17,6,1.2,1,1;17,8,1.2,1,1;17,10,1.1,1,2;17,12,1.1,1,2;17+22,14,1,1,2;17+22,15+8,1,2,3;17+22,17+9,1,3,4;17+22,20+10,0.9,3,4;17+22,22+12,0.9,3,4;17+22,27+20,0.9,3,4;17+22,30+23,0.9,3,4;17+22+10,32+24+3,0.8,3,4;17+22+10,30+25+8,0.8,3,4;17+22+10,35+25+12,0.8,4,5;17+22+10,40+28+15,0.7,4,5;17+22+10,45+30+20,0.7,4,5;17+22+10,50+35+22,0.6,4,6;17+22+10,53+38+28,0.5,5,6;17+22+10,58+40+33,0.5,5,6;</t>
  </si>
  <si>
    <t>18,24,11</t>
  </si>
  <si>
    <t>18,4,1.5,1,1;18,6,1.2,1,1;18,8,1.2,1,1;18,10,1.1,1,2;18,12,1.1,1,2;18+24,14,1,1,2;18+24,15+8,1,2,3;18+24,17+9,1,3,4;18+24,20+10,0.9,3,4;18+24,22+12,0.9,3,4;18+24,27+20,0.9,3,4;18+24,30+23,0.9,3,4;18+24+11,32+24+3,0.8,3,4;18+24+11,30+25+8,0.8,3,4;18+24+11,35+25+12,0.8,4,5;18+24+11,40+28+15,0.7,4,5;18+24+11,45+30+20,0.7,4,5;18+24+11,50+35+22,0.6,4,6;18+24+11,53+38+28,0.5,5,6;18+24+11,58+40+33,0.5,5,6;</t>
  </si>
  <si>
    <t>19,25,23</t>
  </si>
  <si>
    <t>19,4,1.5,1,1;19,6,1.2,1,1;19,8,1.2,1,1;19,10,1.1,1,2;19,12,1.1,1,2;19+25,14,1,1,2;19+25,15+8,1,2,3;19+25,17+9,1,3,4;19+25,20+10,0.9,3,4;19+25,22+12,0.9,3,4;19+25,27+20,0.9,3,4;19+25,30+23,0.9,3,4;19+25+23,32+24+3,0.8,3,4;19+25+23,30+25+8,0.8,3,4;19+25+23,35+25+12,0.8,4,5;19+25+23,40+28+15,0.7,4,5;19+25+23,45+30+20,0.7,4,5;19+25+23,50+35+22,0.6,4,6;19+25+23,53+38+28,0.5,5,6;19+25+23,58+40+33,0.5,5,6;</t>
  </si>
  <si>
    <t>1,27,26</t>
  </si>
  <si>
    <t>1,4,1.5,1,1;1,6,1.2,1,1;1,8,1.2,1,1;1,10,1.1,1,2;1,12,1.1,1,2;1+27,14,1,1,2;1+27,15+8,1,2,3;1+27,17+9,1,3,4;1+27,20+10,0.9,3,4;1+27,22+12,0.9,3,4;1+27,27+20,0.9,3,4;1+27,30+23,0.9,3,4;1+27+26,32+24+3,0.8,3,4;1+27+26,30+25+8,0.8,3,4;1+27+26,35+25+12,0.8,4,5;1+27+26,40+28+15,0.7,4,5;1+27+26,45+30+20,0.7,4,5;1+27+26,50+35+22,0.6,4,6;1+27+26,53+38+28,0.5,5,6;1+27+26,58+40+33,0.5,5,6;</t>
  </si>
  <si>
    <t>5,2,28</t>
  </si>
  <si>
    <t>5,4,1.5,1,1;5,6,1.2,1,1;5,8,1.2,1,1;5,10,1.1,1,2;5,12,1.1,1,2;5+2,14,1,1,2;5+2,15+8,1,2,3;5+2,17+9,1,3,4;5+2,20+10,0.9,3,4;5+2,22+12,0.9,3,4;5+2,27+20,0.9,3,4;5+2,30+23,0.9,3,4;5+2+28,32+24+3,0.8,3,4;5+2+28,30+25+8,0.8,3,4;5+2+28,35+25+12,0.8,4,5;5+2+28,40+28+15,0.7,4,5;5+2+28,45+30+20,0.7,4,5;5+2+28,50+35+22,0.6,4,6;5+2+28,53+38+28,0.5,5,6;5+2+28,58+40+33,0.5,5,6;</t>
  </si>
  <si>
    <t>7,2,3</t>
  </si>
  <si>
    <t>7,4,1.5,1,1;7,6,1.2,1,1;7,8,1.2,1,1;7,10,1.1,1,2;7,12,1.1,1,2;7+2,14,1,1,2;7+2,15+8,1,2,3;7+2,17+9,1,3,4;7+2,20+10,0.9,3,4;7+2,22+12,0.9,3,4;7+2,27+20,0.9,3,4;7+2,30+23,0.9,3,4;7+2+3,32+24+3,0.8,3,4;7+2+3,30+25+8,0.8,3,4;7+2+3,35+25+12,0.8,4,5;7+2+3,40+28+15,0.7,4,5;7+2+3,45+30+20,0.7,4,5;7+2+3,50+35+22,0.6,4,6;7+2+3,53+38+28,0.5,5,6;7+2+3,58+40+33,0.5,5,6;</t>
  </si>
  <si>
    <t>13,9,6</t>
  </si>
  <si>
    <t>13,4,1.5,1,1;13,6,1.2,1,1;13,8,1.2,1,1;13,10,1.1,1,2;13,12,1.1,1,2;13+9,14,1,1,2;13+9,15+8,1,2,3;13+9,17+9,1,3,4;13+9,20+10,0.9,3,4;13+9,22+12,0.9,3,4;13+9,27+20,0.9,3,4;13+9,30+23,0.9,3,4;13+9+6,32+24+3,0.8,3,4;13+9+6,30+25+8,0.8,3,4;13+9+6,35+25+12,0.8,4,5;13+9+6,40+28+15,0.7,4,5;13+9+6,45+30+20,0.7,4,5;13+9+6,50+35+22,0.6,4,6;13+9+6,53+38+28,0.5,5,6;13+9+6,58+40+33,0.5,5,6;</t>
  </si>
  <si>
    <t>14,12,8</t>
  </si>
  <si>
    <t>14,4,1.5,1,1;14,6,1.2,1,1;14,8,1.2,1,1;14,10,1.1,1,2;14,12,1.1,1,2;14+12,14,1,1,2;14+12,15+8,1,2,3;14+12,17+9,1,3,4;14+12,20+10,0.9,3,4;14+12,22+12,0.9,3,4;14+12,27+20,0.9,3,4;14+12,30+23,0.9,3,4;14+12+8,32+24+3,0.8,3,4;14+12+8,30+25+8,0.8,3,4;14+12+8,35+25+12,0.8,4,5;14+12+8,40+28+15,0.7,4,5;14+12+8,45+30+20,0.7,4,5;14+12+8,50+35+22,0.6,4,6;14+12+8,53+38+28,0.5,5,6;14+12+8,58+40+33,0.5,5,6;</t>
  </si>
  <si>
    <t>16,12,10</t>
  </si>
  <si>
    <t>16,4,1.5,1,1;16,6,1.2,1,1;16,8,1.2,1,1;16,10,1.1,1,2;16,12,1.1,1,2;16+12,14,1,1,2;16+12,15+8,1,2,3;16+12,17+9,1,3,4;16+12,20+10,0.9,3,4;16+12,22+12,0.9,3,4;16+12,27+20,0.9,3,4;16+12,30+23,0.9,3,4;16+12+10,32+24+3,0.8,3,4;16+12+10,30+25+8,0.8,3,4;16+12+10,35+25+12,0.8,4,5;16+12+10,40+28+15,0.7,4,5;16+12+10,45+30+20,0.7,4,5;16+12+10,50+35+22,0.6,4,6;16+12+10,53+38+28,0.5,5,6;16+12+10,58+40+33,0.5,5,6;</t>
  </si>
  <si>
    <t>17,20,11</t>
  </si>
  <si>
    <t>17,4,1.5,1,1;17,6,1.2,1,1;17,8,1.2,1,1;17,10,1.1,1,2;17,12,1.1,1,2;17+20,14,1,1,2;17+20,15+8,1,2,3;17+20,17+9,1,3,4;17+20,20+10,0.9,3,4;17+20,22+12,0.9,3,4;17+20,27+20,0.9,3,4;17+20,30+23,0.9,3,4;17+20+11,32+24+3,0.8,3,4;17+20+11,30+25+8,0.8,3,4;17+20+11,35+25+12,0.8,4,5;17+20+11,40+28+15,0.7,4,5;17+20+11,45+30+20,0.7,4,5;17+20+11,50+35+22,0.6,4,6;17+20+11,53+38+28,0.5,5,6;17+20+11,58+40+33,0.5,5,6;</t>
  </si>
  <si>
    <t>18,21,23</t>
  </si>
  <si>
    <t>18,4,1.5,1,1;18,6,1.2,1,1;18,8,1.2,1,1;18,10,1.1,1,2;18,12,1.1,1,2;18+21,14,1,1,2;18+21,15+8,1,2,3;18+21,17+9,1,3,4;18+21,20+10,0.9,3,4;18+21,22+12,0.9,3,4;18+21,27+20,0.9,3,4;18+21,30+23,0.9,3,4;18+21+23,32+24+3,0.8,3,4;18+21+23,30+25+8,0.8,3,4;18+21+23,35+25+12,0.8,4,5;18+21+23,40+28+15,0.7,4,5;18+21+23,45+30+20,0.7,4,5;18+21+23,50+35+22,0.6,4,6;18+21+23,53+38+28,0.5,5,6;18+21+23,58+40+33,0.5,5,6;</t>
  </si>
  <si>
    <t>19,22,26</t>
  </si>
  <si>
    <t>19,4,1.5,1,1;19,6,1.2,1,1;19,8,1.2,1,1;19,10,1.1,1,2;19,12,1.1,1,2;19+22,14,1,1,2;19+22,15+8,1,2,3;19+22,17+9,1,3,4;19+22,20+10,0.9,3,4;19+22,22+12,0.9,3,4;19+22,27+20,0.9,3,4;19+22,30+23,0.9,3,4;19+22+26,32+24+3,0.8,3,4;19+22+26,30+25+8,0.8,3,4;19+22+26,35+25+12,0.8,4,5;19+22+26,40+28+15,0.7,4,5;19+22+26,45+30+20,0.7,4,5;19+22+26,50+35+22,0.6,4,6;19+22+26,53+38+28,0.5,5,6;19+22+26,58+40+33,0.5,5,6;</t>
  </si>
  <si>
    <t>1,24,28</t>
  </si>
  <si>
    <t>1,4,1.5,1,1;1,6,1.2,1,1;1,8,1.2,1,1;1,10,1.1,1,2;1,12,1.1,1,2;1+24,14,1,1,2;1+24,15+8,1,2,3;1+24,17+9,1,3,4;1+24,20+10,0.9,3,4;1+24,22+12,0.9,3,4;1+24,27+20,0.9,3,4;1+24,30+23,0.9,3,4;1+24+28,32+24+3,0.8,3,4;1+24+28,30+25+8,0.8,3,4;1+24+28,35+25+12,0.8,4,5;1+24+28,40+28+15,0.7,4,5;1+24+28,45+30+20,0.7,4,5;1+24+28,50+35+22,0.6,4,6;1+24+28,53+38+28,0.5,5,6;1+24+28,58+40+33,0.5,5,6;</t>
  </si>
  <si>
    <t>5,25,3</t>
  </si>
  <si>
    <t>5,4,1.5,1,1;5,6,1.2,1,1;5,8,1.2,1,1;5,10,1.1,1,2;5,12,1.1,1,2;5+25,14,1,1,2;5+25,15+8,1,2,3;5+25,17+9,1,3,4;5+25,20+10,0.9,3,4;5+25,22+12,0.9,3,4;5+25,27+20,0.9,3,4;5+25,30+23,0.9,3,4;5+25+3,32+24+3,0.8,3,4;5+25+3,30+25+8,0.8,3,4;5+25+3,35+25+12,0.8,4,5;5+25+3,40+28+15,0.7,4,5;5+25+3,45+30+20,0.7,4,5;5+25+3,50+35+22,0.6,4,6;5+25+3,53+38+28,0.5,5,6;5+25+3,58+40+33,0.5,5,6;</t>
  </si>
  <si>
    <t>7,27,6</t>
  </si>
  <si>
    <t>7,4,1.5,1,1;7,6,1.2,1,1;7,8,1.2,1,1;7,10,1.1,1,2;7,12,1.1,1,2;7+27,14,1,1,2;7+27,15+8,1,2,3;7+27,17+9,1,3,4;7+27,20+10,0.9,3,4;7+27,22+12,0.9,3,4;7+27,27+20,0.9,3,4;7+27,30+23,0.9,3,4;7+27+6,32+24+3,0.8,3,4;7+27+6,30+25+8,0.8,3,4;7+27+6,35+25+12,0.8,4,5;7+27+6,40+28+15,0.7,4,5;7+27+6,45+30+20,0.7,4,5;7+27+6,50+35+22,0.6,4,6;7+27+6,53+38+28,0.5,5,6;7+27+6,58+40+33,0.5,5,6;</t>
  </si>
  <si>
    <t>13,2,8</t>
  </si>
  <si>
    <t>13,4,1.5,1,1;13,6,1.2,1,1;13,8,1.2,1,1;13,10,1.1,1,2;13,12,1.1,1,2;13+2,14,1,1,2;13+2,15+8,1,2,3;13+2,17+9,1,3,4;13+2,20+10,0.9,3,4;13+2,22+12,0.9,3,4;13+2,27+20,0.9,3,4;13+2,30+23,0.9,3,4;13+2+8,32+24+3,0.8,3,4;13+2+8,30+25+8,0.8,3,4;13+2+8,35+25+12,0.8,4,5;13+2+8,40+28+15,0.7,4,5;13+2+8,45+30+20,0.7,4,5;13+2+8,50+35+22,0.6,4,6;13+2+8,53+38+28,0.5,5,6;13+2+8,58+40+33,0.5,5,6;</t>
  </si>
  <si>
    <t>1,9,10</t>
  </si>
  <si>
    <t>1,4,1.5,1,1;1,6,1.2,1,1;1,8,1.2,1,1;1,10,1.1,1,2;1,12,1.1,1,2;1+9,14,1,1,2;1+9,15+8,1,2,3;1+9,17+9,1,3,4;1+9,20+10,0.9,3,4;1+9,22+12,0.9,3,4;1+9,27+20,0.9,3,4;1+9,30+23,0.9,3,4;1+9+10,32+24+3,0.8,3,4;1+9+10,30+25+8,0.8,3,4;1+9+10,35+25+12,0.8,4,5;1+9+10,40+28+15,0.7,4,5;1+9+10,45+30+20,0.7,4,5;1+9+10,50+35+22,0.6,4,6;1+9+10,53+38+28,0.5,5,6;1+9+10,58+40+33,0.5,5,6;</t>
  </si>
  <si>
    <t>16,9,11</t>
  </si>
  <si>
    <t>16,4,1.5,1,1;16,6,1.2,1,1;16,8,1.2,1,1;16,10,1.1,1,2;16,12,1.1,1,2;16+9,14,1,1,2;16+9,15+8,1,2,3;16+9,17+9,1,3,4;16+9,20+10,0.9,3,4;16+9,22+12,0.9,3,4;16+9,27+20,0.9,3,4;16+9,30+23,0.9,3,4;16+9+11,32+24+3,0.8,3,4;16+9+11,30+25+8,0.8,3,4;16+9+11,35+25+12,0.8,4,5;16+9+11,40+28+15,0.7,4,5;16+9+11,45+30+20,0.7,4,5;16+9+11,50+35+22,0.6,4,6;16+9+11,53+38+28,0.5,5,6;16+9+11,58+40+33,0.5,5,6;</t>
  </si>
  <si>
    <t>17,12,23</t>
  </si>
  <si>
    <t>17,4,1.5,1,1;17,6,1.2,1,1;17,8,1.2,1,1;17,10,1.1,1,2;17,12,1.1,1,2;17+12,14,1,1,2;17+12,15+8,1,2,3;17+12,17+9,1,3,4;17+12,20+10,0.9,3,4;17+12,22+12,0.9,3,4;17+12,27+20,0.9,3,4;17+12,30+23,0.9,3,4;17+12+23,32+24+3,0.8,3,4;17+12+23,30+25+8,0.8,3,4;17+12+23,35+25+12,0.8,4,5;17+12+23,40+28+15,0.7,4,5;17+12+23,45+30+20,0.7,4,5;17+12+23,50+35+22,0.6,4,6;17+12+23,53+38+28,0.5,5,6;17+12+23,58+40+33,0.5,5,6;</t>
  </si>
  <si>
    <t>18,15,26</t>
  </si>
  <si>
    <t>18,4,1.5,1,1;18,6,1.2,1,1;18,8,1.2,1,1;18,10,1.1,1,2;18,12,1.1,1,2;18+15,14,1,1,2;18+15,15+8,1,2,3;18+15,17+9,1,3,4;18+15,20+10,0.9,3,4;18+15,22+12,0.9,3,4;18+15,27+20,0.9,3,4;18+15,30+23,0.9,3,4;18+15+26,32+24+3,0.8,3,4;18+15+26,30+25+8,0.8,3,4;18+15+26,35+25+12,0.8,4,5;18+15+26,40+28+15,0.7,4,5;18+15+26,45+30+20,0.7,4,5;18+15+26,50+35+22,0.6,4,6;18+15+26,53+38+28,0.5,5,6;18+15+26,58+40+33,0.5,5,6;</t>
  </si>
  <si>
    <t>19,20,28</t>
  </si>
  <si>
    <t>19,4,1.5,1,1;19,6,1.2,1,1;19,8,1.2,1,1;19,10,1.1,1,2;19,12,1.1,1,2;19+20,14,1,1,2;19+20,15+8,1,2,3;19+20,17+9,1,3,4;19+20,20+10,0.9,3,4;19+20,22+12,0.9,3,4;19+20,27+20,0.9,3,4;19+20,30+23,0.9,3,4;19+20+28,32+24+3,0.8,3,4;19+20+28,30+25+8,0.8,3,4;19+20+28,35+25+12,0.8,4,5;19+20+28,40+28+15,0.7,4,5;19+20+28,45+30+20,0.7,4,5;19+20+28,50+35+22,0.6,4,6;19+20+28,53+38+28,0.5,5,6;19+20+28,58+40+33,0.5,5,6;</t>
  </si>
  <si>
    <t>1,21,3</t>
  </si>
  <si>
    <t>1,4,1.5,1,1;1,6,1.2,1,1;1,8,1.2,1,1;1,10,1.1,1,2;1,12,1.1,1,2;1+21,14,1,1,2;1+21,15+8,1,2,3;1+21,17+9,1,3,4;1+21,20+10,0.9,3,4;1+21,22+12,0.9,3,4;1+21,27+20,0.9,3,4;1+21,30+23,0.9,3,4;1+21+3,32+24+3,0.8,3,4;1+21+3,30+25+8,0.8,3,4;1+21+3,35+25+12,0.8,4,5;1+21+3,40+28+15,0.7,4,5;1+21+3,45+30+20,0.7,4,5;1+21+3,50+35+22,0.6,4,6;1+21+3,53+38+28,0.5,5,6;1+21+3,58+40+33,0.5,5,6;</t>
  </si>
  <si>
    <t>5,22,6</t>
  </si>
  <si>
    <t>5,4,1.5,1,1;5,6,1.2,1,1;5,8,1.2,1,1;5,10,1.1,1,2;5,12,1.1,1,2;5+22,14,1,1,2;5+22,15+8,1,2,3;5+22,17+9,1,3,4;5+22,20+10,0.9,3,4;5+22,22+12,0.9,3,4;5+22,27+20,0.9,3,4;5+22,30+23,0.9,3,4;5+22+6,32+24+3,0.8,3,4;5+22+6,30+25+8,0.8,3,4;5+22+6,35+25+12,0.8,4,5;5+22+6,40+28+15,0.7,4,5;5+22+6,45+30+20,0.7,4,5;5+22+6,50+35+22,0.6,4,6;5+22+6,53+38+28,0.5,5,6;5+22+6,58+40+33,0.5,5,6;</t>
  </si>
  <si>
    <t>7,24,8</t>
  </si>
  <si>
    <t>7,4,1.5,1,1;7,6,1.2,1,1;7,8,1.2,1,1;7,10,1.1,1,2;7,12,1.1,1,2;7+24,14,1,1,2;7+24,15+8,1,2,3;7+24,17+9,1,3,4;7+24,20+10,0.9,3,4;7+24,22+12,0.9,3,4;7+24,27+20,0.9,3,4;7+24,30+23,0.9,3,4;7+24+8,32+24+3,0.8,3,4;7+24+8,30+25+8,0.8,3,4;7+24+8,35+25+12,0.8,4,5;7+24+8,40+28+15,0.7,4,5;7+24+8,45+30+20,0.7,4,5;7+24+8,50+35+22,0.6,4,6;7+24+8,53+38+28,0.5,5,6;7+24+8,58+40+33,0.5,5,6;</t>
  </si>
  <si>
    <t>13,25,10</t>
  </si>
  <si>
    <t>13,4,1.5,1,1;13,6,1.2,1,1;13,8,1.2,1,1;13,10,1.1,1,2;13,12,1.1,1,2;13+25,14,1,1,2;13+25,15+8,1,2,3;13+25,17+9,1,3,4;13+25,20+10,0.9,3,4;13+25,22+12,0.9,3,4;13+25,27+20,0.9,3,4;13+25,30+23,0.9,3,4;13+25+10,32+24+3,0.8,3,4;13+25+10,30+25+8,0.8,3,4;13+25+10,35+25+12,0.8,4,5;13+25+10,40+28+15,0.7,4,5;13+25+10,45+30+20,0.7,4,5;13+25+10,50+35+22,0.6,4,6;13+25+10,53+38+28,0.5,5,6;13+25+10,58+40+33,0.5,5,6;</t>
  </si>
  <si>
    <t>18,25,11</t>
  </si>
  <si>
    <t>18,4,1.5,1,1;18,6,1.2,1,1;18,8,1.2,1,1;18,10,1.1,1,2;18,12,1.1,1,2;18+25,14,1,1,2;18+25,15+8,1,2,3;18+25,17+9,1,3,4;18+25,20+10,0.9,3,4;18+25,22+12,0.9,3,4;18+25,27+20,0.9,3,4;18+25,30+23,0.9,3,4;18+25+11,32+24+3,0.8,3,4;18+25+11,30+25+8,0.8,3,4;18+25+11,35+25+12,0.8,4,5;18+25+11,40+28+15,0.7,4,5;18+25+11,45+30+20,0.7,4,5;18+25+11,50+35+22,0.6,4,6;18+25+11,53+38+28,0.5,5,6;18+25+11,58+40+33,0.5,5,6;</t>
  </si>
  <si>
    <t>16,2,23</t>
  </si>
  <si>
    <t>16,4,1.5,1,1;16,6,1.2,1,1;16,8,1.2,1,1;16,10,1.1,1,2;16,12,1.1,1,2;16+2,14,1,1,2;16+2,15+8,1,2,3;16+2,17+9,1,3,4;16+2,20+10,0.9,3,4;16+2,22+12,0.9,3,4;16+2,27+20,0.9,3,4;16+2,30+23,0.9,3,4;16+2+23,32+24+3,0.8,3,4;16+2+23,30+25+8,0.8,3,4;16+2+23,35+25+12,0.8,4,5;16+2+23,40+28+15,0.7,4,5;16+2+23,45+30+20,0.7,4,5;16+2+23,50+35+22,0.6,4,6;16+2+23,53+38+28,0.5,5,6;16+2+23,58+40+33,0.5,5,6;</t>
  </si>
  <si>
    <t>17,4,26</t>
  </si>
  <si>
    <t>17,4,1.5,1,1;17,6,1.2,1,1;17,8,1.2,1,1;17,10,1.1,1,2;17,12,1.1,1,2;17+4,14,1,1,2;17+4,15+8,1,2,3;17+4,17+9,1,3,4;17+4,20+10,0.9,3,4;17+4,22+12,0.9,3,4;17+4,27+20,0.9,3,4;17+4,30+23,0.9,3,4;17+4+26,32+24+3,0.8,3,4;17+4+26,30+25+8,0.8,3,4;17+4+26,35+25+12,0.8,4,5;17+4+26,40+28+15,0.7,4,5;17+4+26,45+30+20,0.7,4,5;17+4+26,50+35+22,0.6,4,6;17+4+26,53+38+28,0.5,5,6;17+4+26,58+40+33,0.5,5,6;</t>
  </si>
  <si>
    <t>18,9,28</t>
  </si>
  <si>
    <t>18,4,1.5,1,1;18,6,1.2,1,1;18,8,1.2,1,1;18,10,1.1,1,2;18,12,1.1,1,2;18+9,14,1,1,2;18+9,15+8,1,2,3;18+9,17+9,1,3,4;18+9,20+10,0.9,3,4;18+9,22+12,0.9,3,4;18+9,27+20,0.9,3,4;18+9,30+23,0.9,3,4;18+9+28,32+24+3,0.8,3,4;18+9+28,30+25+8,0.8,3,4;18+9+28,35+25+12,0.8,4,5;18+9+28,40+28+15,0.7,4,5;18+9+28,45+30+20,0.7,4,5;18+9+28,50+35+22,0.6,4,6;18+9+28,53+38+28,0.5,5,6;18+9+28,58+40+33,0.5,5,6;</t>
  </si>
  <si>
    <t>19,12,3</t>
  </si>
  <si>
    <t>19,4,1.5,1,1;19,6,1.2,1,1;19,8,1.2,1,1;19,10,1.1,1,2;19,12,1.1,1,2;19+12,14,1,1,2;19+12,15+8,1,2,3;19+12,17+9,1,3,4;19+12,20+10,0.9,3,4;19+12,22+12,0.9,3,4;19+12,27+20,0.9,3,4;19+12,30+23,0.9,3,4;19+12+3,32+24+3,0.8,3,4;19+12+3,30+25+8,0.8,3,4;19+12+3,35+25+12,0.8,4,5;19+12+3,40+28+15,0.7,4,5;19+12+3,45+30+20,0.7,4,5;19+12+3,50+35+22,0.6,4,6;19+12+3,53+38+28,0.5,5,6;19+12+3,58+40+33,0.5,5,6;</t>
  </si>
  <si>
    <t>1,15,6</t>
  </si>
  <si>
    <t>1,4,1.5,1,1;1,6,1.2,1,1;1,8,1.2,1,1;1,10,1.1,1,2;1,12,1.1,1,2;1+15,14,1,1,2;1+15,15+8,1,2,3;1+15,17+9,1,3,4;1+15,20+10,0.9,3,4;1+15,22+12,0.9,3,4;1+15,27+20,0.9,3,4;1+15,30+23,0.9,3,4;1+15+6,32+24+3,0.8,3,4;1+15+6,30+25+8,0.8,3,4;1+15+6,35+25+12,0.8,4,5;1+15+6,40+28+15,0.7,4,5;1+15+6,45+30+20,0.7,4,5;1+15+6,50+35+22,0.6,4,6;1+15+6,53+38+28,0.5,5,6;1+15+6,58+40+33,0.5,5,6;</t>
  </si>
  <si>
    <t>5,20,8</t>
  </si>
  <si>
    <t>5,4,1.5,1,1;5,6,1.2,1,1;5,8,1.2,1,1;5,10,1.1,1,2;5,12,1.1,1,2;5+20,14,1,1,2;5+20,15+8,1,2,3;5+20,17+9,1,3,4;5+20,20+10,0.9,3,4;5+20,22+12,0.9,3,4;5+20,27+20,0.9,3,4;5+20,30+23,0.9,3,4;5+20+8,32+24+3,0.8,3,4;5+20+8,30+25+8,0.8,3,4;5+20+8,35+25+12,0.8,4,5;5+20+8,40+28+15,0.7,4,5;5+20+8,45+30+20,0.7,4,5;5+20+8,50+35+22,0.6,4,6;5+20+8,53+38+28,0.5,5,6;5+20+8,58+40+33,0.5,5,6;</t>
  </si>
  <si>
    <t>7,21,10</t>
  </si>
  <si>
    <t>7,4,1.5,1,1;7,6,1.2,1,1;7,8,1.2,1,1;7,10,1.1,1,2;7,12,1.1,1,2;7+21,14,1,1,2;7+21,15+8,1,2,3;7+21,17+9,1,3,4;7+21,20+10,0.9,3,4;7+21,22+12,0.9,3,4;7+21,27+20,0.9,3,4;7+21,30+23,0.9,3,4;7+21+10,32+24+3,0.8,3,4;7+21+10,30+25+8,0.8,3,4;7+21+10,35+25+12,0.8,4,5;7+21+10,40+28+15,0.7,4,5;7+21+10,45+30+20,0.7,4,5;7+21+10,50+35+22,0.6,4,6;7+21+10,53+38+28,0.5,5,6;7+21+10,58+40+33,0.5,5,6;</t>
  </si>
  <si>
    <t>13,22,11</t>
  </si>
  <si>
    <t>13,4,1.5,1,1;13,6,1.2,1,1;13,8,1.2,1,1;13,10,1.1,1,2;13,12,1.1,1,2;13+22,14,1,1,2;13+22,15+8,1,2,3;13+22,17+9,1,3,4;13+22,20+10,0.9,3,4;13+22,22+12,0.9,3,4;13+22,27+20,0.9,3,4;13+22,30+23,0.9,3,4;13+22+11,32+24+3,0.8,3,4;13+22+11,30+25+8,0.8,3,4;13+22+11,35+25+12,0.8,4,5;13+22+11,40+28+15,0.7,4,5;13+22+11,45+30+20,0.7,4,5;13+22+11,50+35+22,0.6,4,6;13+22+11,53+38+28,0.5,5,6;13+22+11,58+40+33,0.5,5,6;</t>
  </si>
  <si>
    <t>18,24,23</t>
  </si>
  <si>
    <t>18,4,1.5,1,1;18,6,1.2,1,1;18,8,1.2,1,1;18,10,1.1,1,2;18,12,1.1,1,2;18+24,14,1,1,2;18+24,15+8,1,2,3;18+24,17+9,1,3,4;18+24,20+10,0.9,3,4;18+24,22+12,0.9,3,4;18+24,27+20,0.9,3,4;18+24,30+23,0.9,3,4;18+24+23,32+24+3,0.8,3,4;18+24+23,30+25+8,0.8,3,4;18+24+23,35+25+12,0.8,4,5;18+24+23,40+28+15,0.7,4,5;18+24+23,45+30+20,0.7,4,5;18+24+23,50+35+22,0.6,4,6;18+24+23,53+38+28,0.5,5,6;18+24+23,58+40+33,0.5,5,6;</t>
  </si>
  <si>
    <t>16,25,26</t>
  </si>
  <si>
    <t>16,4,1.5,1,1;16,6,1.2,1,1;16,8,1.2,1,1;16,10,1.1,1,2;16,12,1.1,1,2;16+25,14,1,1,2;16+25,15+8,1,2,3;16+25,17+9,1,3,4;16+25,20+10,0.9,3,4;16+25,22+12,0.9,3,4;16+25,27+20,0.9,3,4;16+25,30+23,0.9,3,4;16+25+26,32+24+3,0.8,3,4;16+25+26,30+25+8,0.8,3,4;16+25+26,35+25+12,0.8,4,5;16+25+26,40+28+15,0.7,4,5;16+25+26,45+30+20,0.7,4,5;16+25+26,50+35+22,0.6,4,6;16+25+26,53+38+28,0.5,5,6;16+25+26,58+40+33,0.5,5,6;</t>
  </si>
  <si>
    <t>17,25,28</t>
  </si>
  <si>
    <t>17,4,1.5,1,1;17,6,1.2,1,1;17,8,1.2,1,1;17,10,1.1,1,2;17,12,1.1,1,2;17+25,14,1,1,2;17+25,15+8,1,2,3;17+25,17+9,1,3,4;17+25,20+10,0.9,3,4;17+25,22+12,0.9,3,4;17+25,27+20,0.9,3,4;17+25,30+23,0.9,3,4;17+25+28,32+24+3,0.8,3,4;17+25+28,30+25+8,0.8,3,4;17+25+28,35+25+12,0.8,4,5;17+25+28,40+28+15,0.7,4,5;17+25+28,45+30+20,0.7,4,5;17+25+28,50+35+22,0.6,4,6;17+25+28,53+38+28,0.5,5,6;17+25+28,58+40+33,0.5,5,6;</t>
  </si>
  <si>
    <t>18,2,3</t>
  </si>
  <si>
    <t>18,4,1.5,1,1;18,6,1.2,1,1;18,8,1.2,1,1;18,10,1.1,1,2;18,12,1.1,1,2;18+2,14,1,1,2;18+2,15+8,1,2,3;18+2,17+9,1,3,4;18+2,20+10,0.9,3,4;18+2,22+12,0.9,3,4;18+2,27+20,0.9,3,4;18+2,30+23,0.9,3,4;18+2+3,32+24+3,0.8,3,4;18+2+3,30+25+8,0.8,3,4;18+2+3,35+25+12,0.8,4,5;18+2+3,40+28+15,0.7,4,5;18+2+3,45+30+20,0.7,4,5;18+2+3,50+35+22,0.6,4,6;18+2+3,53+38+28,0.5,5,6;18+2+3,58+40+33,0.5,5,6;</t>
  </si>
  <si>
    <t>19,4,6</t>
  </si>
  <si>
    <t>19,4,1.5,1,1;19,6,1.2,1,1;19,8,1.2,1,1;19,10,1.1,1,2;19,12,1.1,1,2;19+4,14,1,1,2;19+4,15+8,1,2,3;19+4,17+9,1,3,4;19+4,20+10,0.9,3,4;19+4,22+12,0.9,3,4;19+4,27+20,0.9,3,4;19+4,30+23,0.9,3,4;19+4+6,32+24+3,0.8,3,4;19+4+6,30+25+8,0.8,3,4;19+4+6,35+25+12,0.8,4,5;19+4+6,40+28+15,0.7,4,5;19+4+6,45+30+20,0.7,4,5;19+4+6,50+35+22,0.6,4,6;19+4+6,53+38+28,0.5,5,6;19+4+6,58+40+33,0.5,5,6;</t>
  </si>
  <si>
    <t>1,9,8</t>
  </si>
  <si>
    <t>1,4,1.5,1,1;1,6,1.2,1,1;1,8,1.2,1,1;1,10,1.1,1,2;1,12,1.1,1,2;1+9,14,1,1,2;1+9,15+8,1,2,3;1+9,17+9,1,3,4;1+9,20+10,0.9,3,4;1+9,22+12,0.9,3,4;1+9,27+20,0.9,3,4;1+9,30+23,0.9,3,4;1+9+8,32+24+3,0.8,3,4;1+9+8,30+25+8,0.8,3,4;1+9+8,35+25+12,0.8,4,5;1+9+8,40+28+15,0.7,4,5;1+9+8,45+30+20,0.7,4,5;1+9+8,50+35+22,0.6,4,6;1+9+8,53+38+28,0.5,5,6;1+9+8,58+40+33,0.5,5,6;</t>
  </si>
  <si>
    <t>5,12,10</t>
  </si>
  <si>
    <t>5,4,1.5,1,1;5,6,1.2,1,1;5,8,1.2,1,1;5,10,1.1,1,2;5,12,1.1,1,2;5+12,14,1,1,2;5+12,15+8,1,2,3;5+12,17+9,1,3,4;5+12,20+10,0.9,3,4;5+12,22+12,0.9,3,4;5+12,27+20,0.9,3,4;5+12,30+23,0.9,3,4;5+12+10,32+24+3,0.8,3,4;5+12+10,30+25+8,0.8,3,4;5+12+10,35+25+12,0.8,4,5;5+12+10,40+28+15,0.7,4,5;5+12+10,45+30+20,0.7,4,5;5+12+10,50+35+22,0.6,4,6;5+12+10,53+38+28,0.5,5,6;5+12+10,58+40+33,0.5,5,6;</t>
  </si>
  <si>
    <t>13,20,23</t>
  </si>
  <si>
    <t>13,4,1.5,1,1;13,6,1.2,1,1;13,8,1.2,1,1;13,10,1.1,1,2;13,12,1.1,1,2;13+20,14,1,1,2;13+20,15+8,1,2,3;13+20,17+9,1,3,4;13+20,20+10,0.9,3,4;13+20,22+12,0.9,3,4;13+20,27+20,0.9,3,4;13+20,30+23,0.9,3,4;13+20+23,32+24+3,0.8,3,4;13+20+23,30+25+8,0.8,3,4;13+20+23,35+25+12,0.8,4,5;13+20+23,40+28+15,0.7,4,5;13+20+23,45+30+20,0.7,4,5;13+20+23,50+35+22,0.6,4,6;13+20+23,53+38+28,0.5,5,6;13+20+23,58+40+33,0.5,5,6;</t>
  </si>
  <si>
    <t>14,21,26</t>
  </si>
  <si>
    <t>14,4,1.5,1,1;14,6,1.2,1,1;14,8,1.2,1,1;14,10,1.1,1,2;14,12,1.1,1,2;14+21,14,1,1,2;14+21,15+8,1,2,3;14+21,17+9,1,3,4;14+21,20+10,0.9,3,4;14+21,22+12,0.9,3,4;14+21,27+20,0.9,3,4;14+21,30+23,0.9,3,4;14+21+26,32+24+3,0.8,3,4;14+21+26,30+25+8,0.8,3,4;14+21+26,35+25+12,0.8,4,5;14+21+26,40+28+15,0.7,4,5;14+21+26,45+30+20,0.7,4,5;14+21+26,50+35+22,0.6,4,6;14+21+26,53+38+28,0.5,5,6;14+21+26,58+40+33,0.5,5,6;</t>
  </si>
  <si>
    <t>16,22,28</t>
  </si>
  <si>
    <t>16,4,1.5,1,1;16,6,1.2,1,1;16,8,1.2,1,1;16,10,1.1,1,2;16,12,1.1,1,2;16+22,14,1,1,2;16+22,15+8,1,2,3;16+22,17+9,1,3,4;16+22,20+10,0.9,3,4;16+22,22+12,0.9,3,4;16+22,27+20,0.9,3,4;16+22,30+23,0.9,3,4;16+22+28,32+24+3,0.8,3,4;16+22+28,30+25+8,0.8,3,4;16+22+28,35+25+12,0.8,4,5;16+22+28,40+28+15,0.7,4,5;16+22+28,45+30+20,0.7,4,5;16+22+28,50+35+22,0.6,4,6;16+22+28,53+38+28,0.5,5,6;16+22+28,58+40+33,0.5,5,6;</t>
  </si>
  <si>
    <t>17,24,3</t>
  </si>
  <si>
    <t>17,4,1.5,1,1;17,6,1.2,1,1;17,8,1.2,1,1;17,10,1.1,1,2;17,12,1.1,1,2;17+24,14,1,1,2;17+24,15+8,1,2,3;17+24,17+9,1,3,4;17+24,20+10,0.9,3,4;17+24,22+12,0.9,3,4;17+24,27+20,0.9,3,4;17+24,30+23,0.9,3,4;17+24+3,32+24+3,0.8,3,4;17+24+3,30+25+8,0.8,3,4;17+24+3,35+25+12,0.8,4,5;17+24+3,40+28+15,0.7,4,5;17+24+3,45+30+20,0.7,4,5;17+24+3,50+35+22,0.6,4,6;17+24+3,53+38+28,0.5,5,6;17+24+3,58+40+33,0.5,5,6;</t>
  </si>
  <si>
    <t>18,25,6</t>
  </si>
  <si>
    <t>18,4,1.5,1,1;18,6,1.2,1,1;18,8,1.2,1,1;18,10,1.1,1,2;18,12,1.1,1,2;18+25,14,1,1,2;18+25,15+8,1,2,3;18+25,17+9,1,3,4;18+25,20+10,0.9,3,4;18+25,22+12,0.9,3,4;18+25,27+20,0.9,3,4;18+25,30+23,0.9,3,4;18+25+6,32+24+3,0.8,3,4;18+25+6,30+25+8,0.8,3,4;18+25+6,35+25+12,0.8,4,5;18+25+6,40+28+15,0.7,4,5;18+25+6,45+30+20,0.7,4,5;18+25+6,50+35+22,0.6,4,6;18+25+6,53+38+28,0.5,5,6;18+25+6,58+40+33,0.5,5,6;</t>
  </si>
  <si>
    <t>19,27,8</t>
  </si>
  <si>
    <t>19,4,1.5,1,1;19,6,1.2,1,1;19,8,1.2,1,1;19,10,1.1,1,2;19,12,1.1,1,2;19+27,14,1,1,2;19+27,15+8,1,2,3;19+27,17+9,1,3,4;19+27,20+10,0.9,3,4;19+27,22+12,0.9,3,4;19+27,27+20,0.9,3,4;19+27,30+23,0.9,3,4;19+27+8,32+24+3,0.8,3,4;19+27+8,30+25+8,0.8,3,4;19+27+8,35+25+12,0.8,4,5;19+27+8,40+28+15,0.7,4,5;19+27+8,45+30+20,0.7,4,5;19+27+8,50+35+22,0.6,4,6;19+27+8,53+38+28,0.5,5,6;19+27+8,58+40+33,0.5,5,6;</t>
  </si>
  <si>
    <t>1,2,10</t>
  </si>
  <si>
    <t>1,4,1.5,1,1;1,6,1.2,1,1;1,8,1.2,1,1;1,10,1.1,1,2;1,12,1.1,1,2;1+2,14,1,1,2;1+2,15+8,1,2,3;1+2,17+9,1,3,4;1+2,20+10,0.9,3,4;1+2,22+12,0.9,3,4;1+2,27+20,0.9,3,4;1+2,30+23,0.9,3,4;1+2+10,32+24+3,0.8,3,4;1+2+10,30+25+8,0.8,3,4;1+2+10,35+25+12,0.8,4,5;1+2+10,40+28+15,0.7,4,5;1+2+10,45+30+20,0.7,4,5;1+2+10,50+35+22,0.6,4,6;1+2+10,53+38+28,0.5,5,6;1+2+10,58+40+33,0.5,5,6;</t>
  </si>
  <si>
    <t>5,5,11</t>
  </si>
  <si>
    <t>5,4,1.5,1,1;5,6,1.2,1,1;5,8,1.2,1,1;5,10,1.1,1,2;5,12,1.1,1,2;5+5,14,1,1,2;5+5,15+8,1,2,3;5+5,17+9,1,3,4;5+5,20+10,0.9,3,4;5+5,22+12,0.9,3,4;5+5,27+20,0.9,3,4;5+5,30+23,0.9,3,4;5+5+11,32+24+3,0.8,3,4;5+5+11,30+25+8,0.8,3,4;5+5+11,35+25+12,0.8,4,5;5+5+11,40+28+15,0.7,4,5;5+5+11,45+30+20,0.7,4,5;5+5+11,50+35+22,0.6,4,6;5+5+11,53+38+28,0.5,5,6;5+5+11,58+40+33,0.5,5,6;</t>
  </si>
  <si>
    <t>7,9,23</t>
  </si>
  <si>
    <t>7,4,1.5,1,1;7,6,1.2,1,1;7,8,1.2,1,1;7,10,1.1,1,2;7,12,1.1,1,2;7+9,14,1,1,2;7+9,15+8,1,2,3;7+9,17+9,1,3,4;7+9,20+10,0.9,3,4;7+9,22+12,0.9,3,4;7+9,27+20,0.9,3,4;7+9,30+23,0.9,3,4;7+9+23,32+24+3,0.8,3,4;7+9+23,30+25+8,0.8,3,4;7+9+23,35+25+12,0.8,4,5;7+9+23,40+28+15,0.7,4,5;7+9+23,45+30+20,0.7,4,5;7+9+23,50+35+22,0.6,4,6;7+9+23,53+38+28,0.5,5,6;7+9+23,58+40+33,0.5,5,6;</t>
  </si>
  <si>
    <t>13,12,26</t>
  </si>
  <si>
    <t>13,4,1.5,1,1;13,6,1.2,1,1;13,8,1.2,1,1;13,10,1.1,1,2;13,12,1.1,1,2;13+12,14,1,1,2;13+12,15+8,1,2,3;13+12,17+9,1,3,4;13+12,20+10,0.9,3,4;13+12,22+12,0.9,3,4;13+12,27+20,0.9,3,4;13+12,30+23,0.9,3,4;13+12+26,32+24+3,0.8,3,4;13+12+26,30+25+8,0.8,3,4;13+12+26,35+25+12,0.8,4,5;13+12+26,40+28+15,0.7,4,5;13+12+26,45+30+20,0.7,4,5;13+12+26,50+35+22,0.6,4,6;13+12+26,53+38+28,0.5,5,6;13+12+26,58+40+33,0.5,5,6;</t>
  </si>
  <si>
    <t>16,20,3</t>
  </si>
  <si>
    <t>16,4,1.5,1,1;16,6,1.2,1,1;16,8,1.2,1,1;16,10,1.1,1,2;16,12,1.1,1,2;16+20,14,1,1,2;16+20,15+8,1,2,3;16+20,17+9,1,3,4;16+20,20+10,0.9,3,4;16+20,22+12,0.9,3,4;16+20,27+20,0.9,3,4;16+20,30+23,0.9,3,4;16+20+3,32+24+3,0.8,3,4;16+20+3,30+25+8,0.8,3,4;16+20+3,35+25+12,0.8,4,5;16+20+3,40+28+15,0.7,4,5;16+20+3,45+30+20,0.7,4,5;16+20+3,50+35+22,0.6,4,6;16+20+3,53+38+28,0.5,5,6;16+20+3,58+40+33,0.5,5,6;</t>
  </si>
  <si>
    <t>17,21,6</t>
  </si>
  <si>
    <t>17,4,1.5,1,1;17,6,1.2,1,1;17,8,1.2,1,1;17,10,1.1,1,2;17,12,1.1,1,2;17+21,14,1,1,2;17+21,15+8,1,2,3;17+21,17+9,1,3,4;17+21,20+10,0.9,3,4;17+21,22+12,0.9,3,4;17+21,27+20,0.9,3,4;17+21,30+23,0.9,3,4;17+21+6,32+24+3,0.8,3,4;17+21+6,30+25+8,0.8,3,4;17+21+6,35+25+12,0.8,4,5;17+21+6,40+28+15,0.7,4,5;17+21+6,45+30+20,0.7,4,5;17+21+6,50+35+22,0.6,4,6;17+21+6,53+38+28,0.5,5,6;17+21+6,58+40+33,0.5,5,6;</t>
  </si>
  <si>
    <t>18,22,8</t>
  </si>
  <si>
    <t>18,4,1.5,1,1;18,6,1.2,1,1;18,8,1.2,1,1;18,10,1.1,1,2;18,12,1.1,1,2;18+22,14,1,1,2;18+22,15+8,1,2,3;18+22,17+9,1,3,4;18+22,20+10,0.9,3,4;18+22,22+12,0.9,3,4;18+22,27+20,0.9,3,4;18+22,30+23,0.9,3,4;18+22+8,32+24+3,0.8,3,4;18+22+8,30+25+8,0.8,3,4;18+22+8,35+25+12,0.8,4,5;18+22+8,40+28+15,0.7,4,5;18+22+8,45+30+20,0.7,4,5;18+22+8,50+35+22,0.6,4,6;18+22+8,53+38+28,0.5,5,6;18+22+8,58+40+33,0.5,5,6;</t>
  </si>
  <si>
    <t>19,24,10</t>
  </si>
  <si>
    <t>19,4,1.5,1,1;19,6,1.2,1,1;19,8,1.2,1,1;19,10,1.1,1,2;19,12,1.1,1,2;19+24,14,1,1,2;19+24,15+8,1,2,3;19+24,17+9,1,3,4;19+24,20+10,0.9,3,4;19+24,22+12,0.9,3,4;19+24,27+20,0.9,3,4;19+24,30+23,0.9,3,4;19+24+10,32+24+3,0.8,3,4;19+24+10,30+25+8,0.8,3,4;19+24+10,35+25+12,0.8,4,5;19+24+10,40+28+15,0.7,4,5;19+24+10,45+30+20,0.7,4,5;19+24+10,50+35+22,0.6,4,6;19+24+10,53+38+28,0.5,5,6;19+24+10,58+40+33,0.5,5,6;</t>
  </si>
  <si>
    <t>1,25,11</t>
  </si>
  <si>
    <t>1,4,1.5,1,1;1,6,1.2,1,1;1,8,1.2,1,1;1,10,1.1,1,2;1,12,1.1,1,2;1+25,14,1,1,2;1+25,15+8,1,2,3;1+25,17+9,1,3,4;1+25,20+10,0.9,3,4;1+25,22+12,0.9,3,4;1+25,27+20,0.9,3,4;1+25,30+23,0.9,3,4;1+25+11,32+24+3,0.8,3,4;1+25+11,30+25+8,0.8,3,4;1+25+11,35+25+12,0.8,4,5;1+25+11,40+28+15,0.7,4,5;1+25+11,45+30+20,0.7,4,5;1+25+11,50+35+22,0.6,4,6;1+25+11,53+38+28,0.5,5,6;1+25+11,58+40+33,0.5,5,6;</t>
  </si>
  <si>
    <t>5,25,23</t>
  </si>
  <si>
    <t>5,4,1.5,1,1;5,6,1.2,1,1;5,8,1.2,1,1;5,10,1.1,1,2;5,12,1.1,1,2;5+25,14,1,1,2;5+25,15+8,1,2,3;5+25,17+9,1,3,4;5+25,20+10,0.9,3,4;5+25,22+12,0.9,3,4;5+25,27+20,0.9,3,4;5+25,30+23,0.9,3,4;5+25+23,32+24+3,0.8,3,4;5+25+23,30+25+8,0.8,3,4;5+25+23,35+25+12,0.8,4,5;5+25+23,40+28+15,0.7,4,5;5+25+23,45+30+20,0.7,4,5;5+25+23,50+35+22,0.6,4,6;5+25+23,53+38+28,0.5,5,6;5+25+23,58+40+33,0.5,5,6;</t>
  </si>
  <si>
    <t>7,2,26</t>
  </si>
  <si>
    <t>7,4,1.5,1,1;7,6,1.2,1,1;7,8,1.2,1,1;7,10,1.1,1,2;7,12,1.1,1,2;7+2,14,1,1,2;7+2,15+8,1,2,3;7+2,17+9,1,3,4;7+2,20+10,0.9,3,4;7+2,22+12,0.9,3,4;7+2,27+20,0.9,3,4;7+2,30+23,0.9,3,4;7+2+26,32+24+3,0.8,3,4;7+2+26,30+25+8,0.8,3,4;7+2+26,35+25+12,0.8,4,5;7+2+26,40+28+15,0.7,4,5;7+2+26,45+30+20,0.7,4,5;7+2+26,50+35+22,0.6,4,6;7+2+26,53+38+28,0.5,5,6;7+2+26,58+40+33,0.5,5,6;</t>
  </si>
  <si>
    <t>13,5,28</t>
  </si>
  <si>
    <t>13,4,1.5,1,1;13,6,1.2,1,1;13,8,1.2,1,1;13,10,1.1,1,2;13,12,1.1,1,2;13+5,14,1,1,2;13+5,15+8,1,2,3;13+5,17+9,1,3,4;13+5,20+10,0.9,3,4;13+5,22+12,0.9,3,4;13+5,27+20,0.9,3,4;13+5,30+23,0.9,3,4;13+5+28,32+24+3,0.8,3,4;13+5+28,30+25+8,0.8,3,4;13+5+28,35+25+12,0.8,4,5;13+5+28,40+28+15,0.7,4,5;13+5+28,45+30+20,0.7,4,5;13+5+28,50+35+22,0.6,4,6;13+5+28,53+38+28,0.5,5,6;13+5+28,58+40+33,0.5,5,6;</t>
  </si>
  <si>
    <t>18,9,3</t>
  </si>
  <si>
    <t>18,4,1.5,1,1;18,6,1.2,1,1;18,8,1.2,1,1;18,10,1.1,1,2;18,12,1.1,1,2;18+9,14,1,1,2;18+9,15+8,1,2,3;18+9,17+9,1,3,4;18+9,20+10,0.9,3,4;18+9,22+12,0.9,3,4;18+9,27+20,0.9,3,4;18+9,30+23,0.9,3,4;18+9+3,32+24+3,0.8,3,4;18+9+3,30+25+8,0.8,3,4;18+9+3,35+25+12,0.8,4,5;18+9+3,40+28+15,0.7,4,5;18+9+3,45+30+20,0.7,4,5;18+9+3,50+35+22,0.6,4,6;18+9+3,53+38+28,0.5,5,6;18+9+3,58+40+33,0.5,5,6;</t>
  </si>
  <si>
    <t>16,12,6</t>
  </si>
  <si>
    <t>16,4,1.5,1,1;16,6,1.2,1,1;16,8,1.2,1,1;16,10,1.1,1,2;16,12,1.1,1,2;16+12,14,1,1,2;16+12,15+8,1,2,3;16+12,17+9,1,3,4;16+12,20+10,0.9,3,4;16+12,22+12,0.9,3,4;16+12,27+20,0.9,3,4;16+12,30+23,0.9,3,4;16+12+6,32+24+3,0.8,3,4;16+12+6,30+25+8,0.8,3,4;16+12+6,35+25+12,0.8,4,5;16+12+6,40+28+15,0.7,4,5;16+12+6,45+30+20,0.7,4,5;16+12+6,50+35+22,0.6,4,6;16+12+6,53+38+28,0.5,5,6;16+12+6,58+40+33,0.5,5,6;</t>
  </si>
  <si>
    <t>17,15,8</t>
  </si>
  <si>
    <t>17,4,1.5,1,1;17,6,1.2,1,1;17,8,1.2,1,1;17,10,1.1,1,2;17,12,1.1,1,2;17+15,14,1,1,2;17+15,15+8,1,2,3;17+15,17+9,1,3,4;17+15,20+10,0.9,3,4;17+15,22+12,0.9,3,4;17+15,27+20,0.9,3,4;17+15,30+23,0.9,3,4;17+15+8,32+24+3,0.8,3,4;17+15+8,30+25+8,0.8,3,4;17+15+8,35+25+12,0.8,4,5;17+15+8,40+28+15,0.7,4,5;17+15+8,45+30+20,0.7,4,5;17+15+8,50+35+22,0.6,4,6;17+15+8,53+38+28,0.5,5,6;17+15+8,58+40+33,0.5,5,6;</t>
  </si>
  <si>
    <t>19,21,11</t>
  </si>
  <si>
    <t>19,4,1.5,1,1;19,6,1.2,1,1;19,8,1.2,1,1;19,10,1.1,1,2;19,12,1.1,1,2;19+21,14,1,1,2;19+21,15+8,1,2,3;19+21,17+9,1,3,4;19+21,20+10,0.9,3,4;19+21,22+12,0.9,3,4;19+21,27+20,0.9,3,4;19+21,30+23,0.9,3,4;19+21+11,32+24+3,0.8,3,4;19+21+11,30+25+8,0.8,3,4;19+21+11,35+25+12,0.8,4,5;19+21+11,40+28+15,0.7,4,5;19+21+11,45+30+20,0.7,4,5;19+21+11,50+35+22,0.6,4,6;19+21+11,53+38+28,0.5,5,6;19+21+11,58+40+33,0.5,5,6;</t>
  </si>
  <si>
    <t>1,22,23</t>
  </si>
  <si>
    <t>1,4,1.5,1,1;1,6,1.2,1,1;1,8,1.2,1,1;1,10,1.1,1,2;1,12,1.1,1,2;1+22,14,1,1,2;1+22,15+8,1,2,3;1+22,17+9,1,3,4;1+22,20+10,0.9,3,4;1+22,22+12,0.9,3,4;1+22,27+20,0.9,3,4;1+22,30+23,0.9,3,4;1+22+23,32+24+3,0.8,3,4;1+22+23,30+25+8,0.8,3,4;1+22+23,35+25+12,0.8,4,5;1+22+23,40+28+15,0.7,4,5;1+22+23,45+30+20,0.7,4,5;1+22+23,50+35+22,0.6,4,6;1+22+23,53+38+28,0.5,5,6;1+22+23,58+40+33,0.5,5,6;</t>
  </si>
  <si>
    <t>5,24,26</t>
  </si>
  <si>
    <t>5,4,1.5,1,1;5,6,1.2,1,1;5,8,1.2,1,1;5,10,1.1,1,2;5,12,1.1,1,2;5+24,14,1,1,2;5+24,15+8,1,2,3;5+24,17+9,1,3,4;5+24,20+10,0.9,3,4;5+24,22+12,0.9,3,4;5+24,27+20,0.9,3,4;5+24,30+23,0.9,3,4;5+24+26,32+24+3,0.8,3,4;5+24+26,30+25+8,0.8,3,4;5+24+26,35+25+12,0.8,4,5;5+24+26,40+28+15,0.7,4,5;5+24+26,45+30+20,0.7,4,5;5+24+26,50+35+22,0.6,4,6;5+24+26,53+38+28,0.5,5,6;5+24+26,58+40+33,0.5,5,6;</t>
  </si>
  <si>
    <t>7,25,28</t>
  </si>
  <si>
    <t>7,4,1.5,1,1;7,6,1.2,1,1;7,8,1.2,1,1;7,10,1.1,1,2;7,12,1.1,1,2;7+25,14,1,1,2;7+25,15+8,1,2,3;7+25,17+9,1,3,4;7+25,20+10,0.9,3,4;7+25,22+12,0.9,3,4;7+25,27+20,0.9,3,4;7+25,30+23,0.9,3,4;7+25+28,32+24+3,0.8,3,4;7+25+28,30+25+8,0.8,3,4;7+25+28,35+25+12,0.8,4,5;7+25+28,40+28+15,0.7,4,5;7+25+28,45+30+20,0.7,4,5;7+25+28,50+35+22,0.6,4,6;7+25+28,53+38+28,0.5,5,6;7+25+28,58+40+33,0.5,5,6;</t>
  </si>
  <si>
    <t>13,25,3</t>
  </si>
  <si>
    <t>13,4,1.5,1,1;13,6,1.2,1,1;13,8,1.2,1,1;13,10,1.1,1,2;13,12,1.1,1,2;13+25,14,1,1,2;13+25,15+8,1,2,3;13+25,17+9,1,3,4;13+25,20+10,0.9,3,4;13+25,22+12,0.9,3,4;13+25,27+20,0.9,3,4;13+25,30+23,0.9,3,4;13+25+3,32+24+3,0.8,3,4;13+25+3,30+25+8,0.8,3,4;13+25+3,35+25+12,0.8,4,5;13+25+3,40+28+15,0.7,4,5;13+25+3,45+30+20,0.7,4,5;13+25+3,50+35+22,0.6,4,6;13+25+3,53+38+28,0.5,5,6;13+25+3,58+40+33,0.5,5,6;</t>
  </si>
  <si>
    <t>14,2,6</t>
  </si>
  <si>
    <t>14,4,1.5,1,1;14,6,1.2,1,1;14,8,1.2,1,1;14,10,1.1,1,2;14,12,1.1,1,2;14+2,14,1,1,2;14+2,15+8,1,2,3;14+2,17+9,1,3,4;14+2,20+10,0.9,3,4;14+2,22+12,0.9,3,4;14+2,27+20,0.9,3,4;14+2,30+23,0.9,3,4;14+2+6,32+24+3,0.8,3,4;14+2+6,30+25+8,0.8,3,4;14+2+6,35+25+12,0.8,4,5;14+2+6,40+28+15,0.7,4,5;14+2+6,45+30+20,0.7,4,5;14+2+6,50+35+22,0.6,4,6;14+2+6,53+38+28,0.5,5,6;14+2+6,58+40+33,0.5,5,6;</t>
  </si>
  <si>
    <t>16,4,8</t>
  </si>
  <si>
    <t>16,4,1.5,1,1;16,6,1.2,1,1;16,8,1.2,1,1;16,10,1.1,1,2;16,12,1.1,1,2;16+4,14,1,1,2;16+4,15+8,1,2,3;16+4,17+9,1,3,4;16+4,20+10,0.9,3,4;16+4,22+12,0.9,3,4;16+4,27+20,0.9,3,4;16+4,30+23,0.9,3,4;16+4+8,32+24+3,0.8,3,4;16+4+8,30+25+8,0.8,3,4;16+4+8,35+25+12,0.8,4,5;16+4+8,40+28+15,0.7,4,5;16+4+8,45+30+20,0.7,4,5;16+4+8,50+35+22,0.6,4,6;16+4+8,53+38+28,0.5,5,6;16+4+8,58+40+33,0.5,5,6;</t>
  </si>
  <si>
    <t>17,9,10</t>
  </si>
  <si>
    <t>17,4,1.5,1,1;17,6,1.2,1,1;17,8,1.2,1,1;17,10,1.1,1,2;17,12,1.1,1,2;17+9,14,1,1,2;17+9,15+8,1,2,3;17+9,17+9,1,3,4;17+9,20+10,0.9,3,4;17+9,22+12,0.9,3,4;17+9,27+20,0.9,3,4;17+9,30+23,0.9,3,4;17+9+10,32+24+3,0.8,3,4;17+9+10,30+25+8,0.8,3,4;17+9+10,35+25+12,0.8,4,5;17+9+10,40+28+15,0.7,4,5;17+9+10,45+30+20,0.7,4,5;17+9+10,50+35+22,0.6,4,6;17+9+10,53+38+28,0.5,5,6;17+9+10,58+40+33,0.5,5,6;</t>
  </si>
  <si>
    <t>18,12,11</t>
  </si>
  <si>
    <t>18,4,1.5,1,1;18,6,1.2,1,1;18,8,1.2,1,1;18,10,1.1,1,2;18,12,1.1,1,2;18+12,14,1,1,2;18+12,15+8,1,2,3;18+12,17+9,1,3,4;18+12,20+10,0.9,3,4;18+12,22+12,0.9,3,4;18+12,27+20,0.9,3,4;18+12,30+23,0.9,3,4;18+12+11,32+24+3,0.8,3,4;18+12+11,30+25+8,0.8,3,4;18+12+11,35+25+12,0.8,4,5;18+12+11,40+28+15,0.7,4,5;18+12+11,45+30+20,0.7,4,5;18+12+11,50+35+22,0.6,4,6;18+12+11,53+38+28,0.5,5,6;18+12+11,58+40+33,0.5,5,6;</t>
  </si>
  <si>
    <t>19,9,23</t>
  </si>
  <si>
    <t>19,4,1.5,1,1;19,6,1.2,1,1;19,8,1.2,1,1;19,10,1.1,1,2;19,12,1.1,1,2;19+9,14,1,1,2;19+9,15+8,1,2,3;19+9,17+9,1,3,4;19+9,20+10,0.9,3,4;19+9,22+12,0.9,3,4;19+9,27+20,0.9,3,4;19+9,30+23,0.9,3,4;19+9+23,32+24+3,0.8,3,4;19+9+23,30+25+8,0.8,3,4;19+9+23,35+25+12,0.8,4,5;19+9+23,40+28+15,0.7,4,5;19+9+23,45+30+20,0.7,4,5;19+9+23,50+35+22,0.6,4,6;19+9+23,53+38+28,0.5,5,6;19+9+23,58+40+33,0.5,5,6;</t>
  </si>
  <si>
    <t>1,20,26</t>
  </si>
  <si>
    <t>1,4,1.5,1,1;1,6,1.2,1,1;1,8,1.2,1,1;1,10,1.1,1,2;1,12,1.1,1,2;1+20,14,1,1,2;1+20,15+8,1,2,3;1+20,17+9,1,3,4;1+20,20+10,0.9,3,4;1+20,22+12,0.9,3,4;1+20,27+20,0.9,3,4;1+20,30+23,0.9,3,4;1+20+26,32+24+3,0.8,3,4;1+20+26,30+25+8,0.8,3,4;1+20+26,35+25+12,0.8,4,5;1+20+26,40+28+15,0.7,4,5;1+20+26,45+30+20,0.7,4,5;1+20+26,50+35+22,0.6,4,6;1+20+26,53+38+28,0.5,5,6;1+20+26,58+40+33,0.5,5,6;</t>
  </si>
  <si>
    <t>5,21,28</t>
  </si>
  <si>
    <t>5,4,1.5,1,1;5,6,1.2,1,1;5,8,1.2,1,1;5,10,1.1,1,2;5,12,1.1,1,2;5+21,14,1,1,2;5+21,15+8,1,2,3;5+21,17+9,1,3,4;5+21,20+10,0.9,3,4;5+21,22+12,0.9,3,4;5+21,27+20,0.9,3,4;5+21,30+23,0.9,3,4;5+21+28,32+24+3,0.8,3,4;5+21+28,30+25+8,0.8,3,4;5+21+28,35+25+12,0.8,4,5;5+21+28,40+28+15,0.7,4,5;5+21+28,45+30+20,0.7,4,5;5+21+28,50+35+22,0.6,4,6;5+21+28,53+38+28,0.5,5,6;5+21+28,58+40+33,0.5,5,6;</t>
  </si>
  <si>
    <t>7,22,3</t>
  </si>
  <si>
    <t>7,4,1.5,1,1;7,6,1.2,1,1;7,8,1.2,1,1;7,10,1.1,1,2;7,12,1.1,1,2;7+22,14,1,1,2;7+22,15+8,1,2,3;7+22,17+9,1,3,4;7+22,20+10,0.9,3,4;7+22,22+12,0.9,3,4;7+22,27+20,0.9,3,4;7+22,30+23,0.9,3,4;7+22+3,32+24+3,0.8,3,4;7+22+3,30+25+8,0.8,3,4;7+22+3,35+25+12,0.8,4,5;7+22+3,40+28+15,0.7,4,5;7+22+3,45+30+20,0.7,4,5;7+22+3,50+35+22,0.6,4,6;7+22+3,53+38+28,0.5,5,6;7+22+3,58+40+33,0.5,5,6;</t>
  </si>
  <si>
    <t>13,24,6</t>
  </si>
  <si>
    <t>13,4,1.5,1,1;13,6,1.2,1,1;13,8,1.2,1,1;13,10,1.1,1,2;13,12,1.1,1,2;13+24,14,1,1,2;13+24,15+8,1,2,3;13+24,17+9,1,3,4;13+24,20+10,0.9,3,4;13+24,22+12,0.9,3,4;13+24,27+20,0.9,3,4;13+24,30+23,0.9,3,4;13+24+6,32+24+3,0.8,3,4;13+24+6,30+25+8,0.8,3,4;13+24+6,35+25+12,0.8,4,5;13+24+6,40+28+15,0.7,4,5;13+24+6,45+30+20,0.7,4,5;13+24+6,50+35+22,0.6,4,6;13+24+6,53+38+28,0.5,5,6;13+24+6,58+40+33,0.5,5,6;</t>
  </si>
  <si>
    <t>14,25,8</t>
  </si>
  <si>
    <t>14,4,1.5,1,1;14,6,1.2,1,1;14,8,1.2,1,1;14,10,1.1,1,2;14,12,1.1,1,2;14+25,14,1,1,2;14+25,15+8,1,2,3;14+25,17+9,1,3,4;14+25,20+10,0.9,3,4;14+25,22+12,0.9,3,4;14+25,27+20,0.9,3,4;14+25,30+23,0.9,3,4;14+25+8,32+24+3,0.8,3,4;14+25+8,30+25+8,0.8,3,4;14+25+8,35+25+12,0.8,4,5;14+25+8,40+28+15,0.7,4,5;14+25+8,45+30+20,0.7,4,5;14+25+8,50+35+22,0.6,4,6;14+25+8,53+38+28,0.5,5,6;14+25+8,58+40+33,0.5,5,6;</t>
  </si>
  <si>
    <t>16,25,10</t>
  </si>
  <si>
    <t>16,4,1.5,1,1;16,6,1.2,1,1;16,8,1.2,1,1;16,10,1.1,1,2;16,12,1.1,1,2;16+25,14,1,1,2;16+25,15+8,1,2,3;16+25,17+9,1,3,4;16+25,20+10,0.9,3,4;16+25,22+12,0.9,3,4;16+25,27+20,0.9,3,4;16+25,30+23,0.9,3,4;16+25+10,32+24+3,0.8,3,4;16+25+10,30+25+8,0.8,3,4;16+25+10,35+25+12,0.8,4,5;16+25+10,40+28+15,0.7,4,5;16+25+10,45+30+20,0.7,4,5;16+25+10,50+35+22,0.6,4,6;16+25+10,53+38+28,0.5,5,6;16+25+10,58+40+33,0.5,5,6;</t>
  </si>
  <si>
    <t>17,2,11</t>
  </si>
  <si>
    <t>17,4,1.5,1,1;17,6,1.2,1,1;17,8,1.2,1,1;17,10,1.1,1,2;17,12,1.1,1,2;17+2,14,1,1,2;17+2,15+8,1,2,3;17+2,17+9,1,3,4;17+2,20+10,0.9,3,4;17+2,22+12,0.9,3,4;17+2,27+20,0.9,3,4;17+2,30+23,0.9,3,4;17+2+11,32+24+3,0.8,3,4;17+2+11,30+25+8,0.8,3,4;17+2+11,35+25+12,0.8,4,5;17+2+11,40+28+15,0.7,4,5;17+2+11,45+30+20,0.7,4,5;17+2+11,50+35+22,0.6,4,6;17+2+11,53+38+28,0.5,5,6;17+2+11,58+40+33,0.5,5,6;</t>
  </si>
  <si>
    <t>18,5,23</t>
  </si>
  <si>
    <t>18,4,1.5,1,1;18,6,1.2,1,1;18,8,1.2,1,1;18,10,1.1,1,2;18,12,1.1,1,2;18+5,14,1,1,2;18+5,15+8,1,2,3;18+5,17+9,1,3,4;18+5,20+10,0.9,3,4;18+5,22+12,0.9,3,4;18+5,27+20,0.9,3,4;18+5,30+23,0.9,3,4;18+5+23,32+24+3,0.8,3,4;18+5+23,30+25+8,0.8,3,4;18+5+23,35+25+12,0.8,4,5;18+5+23,40+28+15,0.7,4,5;18+5+23,45+30+20,0.7,4,5;18+5+23,50+35+22,0.6,4,6;18+5+23,53+38+28,0.5,5,6;18+5+23,58+40+33,0.5,5,6;</t>
  </si>
  <si>
    <t>19,9,26</t>
  </si>
  <si>
    <t>19,4,1.5,1,1;19,6,1.2,1,1;19,8,1.2,1,1;19,10,1.1,1,2;19,12,1.1,1,2;19+9,14,1,1,2;19+9,15+8,1,2,3;19+9,17+9,1,3,4;19+9,20+10,0.9,3,4;19+9,22+12,0.9,3,4;19+9,27+20,0.9,3,4;19+9,30+23,0.9,3,4;19+9+26,32+24+3,0.8,3,4;19+9+26,30+25+8,0.8,3,4;19+9+26,35+25+12,0.8,4,5;19+9+26,40+28+15,0.7,4,5;19+9+26,45+30+20,0.7,4,5;19+9+26,50+35+22,0.6,4,6;19+9+26,53+38+28,0.5,5,6;19+9+26,58+40+33,0.5,5,6;</t>
  </si>
  <si>
    <t>1,12,28</t>
  </si>
  <si>
    <t>1,4,1.5,1,1;1,6,1.2,1,1;1,8,1.2,1,1;1,10,1.1,1,2;1,12,1.1,1,2;1+12,14,1,1,2;1+12,15+8,1,2,3;1+12,17+9,1,3,4;1+12,20+10,0.9,3,4;1+12,22+12,0.9,3,4;1+12,27+20,0.9,3,4;1+12,30+23,0.9,3,4;1+12+28,32+24+3,0.8,3,4;1+12+28,30+25+8,0.8,3,4;1+12+28,35+25+12,0.8,4,5;1+12+28,40+28+15,0.7,4,5;1+12+28,45+30+20,0.7,4,5;1+12+28,50+35+22,0.6,4,6;1+12+28,53+38+28,0.5,5,6;1+12+28,58+40+33,0.5,5,6;</t>
  </si>
  <si>
    <t>5,9,3</t>
  </si>
  <si>
    <t>5,4,1.5,1,1;5,6,1.2,1,1;5,8,1.2,1,1;5,10,1.1,1,2;5,12,1.1,1,2;5+9,14,1,1,2;5+9,15+8,1,2,3;5+9,17+9,1,3,4;5+9,20+10,0.9,3,4;5+9,22+12,0.9,3,4;5+9,27+20,0.9,3,4;5+9,30+23,0.9,3,4;5+9+3,32+24+3,0.8,3,4;5+9+3,30+25+8,0.8,3,4;5+9+3,35+25+12,0.8,4,5;5+9+3,40+28+15,0.7,4,5;5+9+3,45+30+20,0.7,4,5;5+9+3,50+35+22,0.6,4,6;5+9+3,53+38+28,0.5,5,6;5+9+3,58+40+33,0.5,5,6;</t>
  </si>
  <si>
    <t>7,20,6</t>
  </si>
  <si>
    <t>7,4,1.5,1,1;7,6,1.2,1,1;7,8,1.2,1,1;7,10,1.1,1,2;7,12,1.1,1,2;7+20,14,1,1,2;7+20,15+8,1,2,3;7+20,17+9,1,3,4;7+20,20+10,0.9,3,4;7+20,22+12,0.9,3,4;7+20,27+20,0.9,3,4;7+20,30+23,0.9,3,4;7+20+6,32+24+3,0.8,3,4;7+20+6,30+25+8,0.8,3,4;7+20+6,35+25+12,0.8,4,5;7+20+6,40+28+15,0.7,4,5;7+20+6,45+30+20,0.7,4,5;7+20+6,50+35+22,0.6,4,6;7+20+6,53+38+28,0.5,5,6;7+20+6,58+40+33,0.5,5,6;</t>
  </si>
  <si>
    <t>13,21,8</t>
  </si>
  <si>
    <t>13,4,1.5,1,1;13,6,1.2,1,1;13,8,1.2,1,1;13,10,1.1,1,2;13,12,1.1,1,2;13+21,14,1,1,2;13+21,15+8,1,2,3;13+21,17+9,1,3,4;13+21,20+10,0.9,3,4;13+21,22+12,0.9,3,4;13+21,27+20,0.9,3,4;13+21,30+23,0.9,3,4;13+21+8,32+24+3,0.8,3,4;13+21+8,30+25+8,0.8,3,4;13+21+8,35+25+12,0.8,4,5;13+21+8,40+28+15,0.7,4,5;13+21+8,45+30+20,0.7,4,5;13+21+8,50+35+22,0.6,4,6;13+21+8,53+38+28,0.5,5,6;13+21+8,58+40+33,0.5,5,6;</t>
  </si>
  <si>
    <t>13,22,10</t>
  </si>
  <si>
    <t>13,4,1.5,1,1;13,6,1.2,1,1;13,8,1.2,1,1;13,10,1.1,1,2;13,12,1.1,1,2;13+22,14,1,1,2;13+22,15+8,1,2,3;13+22,17+9,1,3,4;13+22,20+10,0.9,3,4;13+22,22+12,0.9,3,4;13+22,27+20,0.9,3,4;13+22,30+23,0.9,3,4;13+22+10,32+24+3,0.8,3,4;13+22+10,30+25+8,0.8,3,4;13+22+10,35+25+12,0.8,4,5;13+22+10,40+28+15,0.7,4,5;13+22+10,45+30+20,0.7,4,5;13+22+10,50+35+22,0.6,4,6;13+22+10,53+38+28,0.5,5,6;13+22+10,58+40+33,0.5,5,6;</t>
  </si>
  <si>
    <t>16,24,11</t>
  </si>
  <si>
    <t>16,4,1.5,1,1;16,6,1.2,1,1;16,8,1.2,1,1;16,10,1.1,1,2;16,12,1.1,1,2;16+24,14,1,1,2;16+24,15+8,1,2,3;16+24,17+9,1,3,4;16+24,20+10,0.9,3,4;16+24,22+12,0.9,3,4;16+24,27+20,0.9,3,4;16+24,30+23,0.9,3,4;16+24+11,32+24+3,0.8,3,4;16+24+11,30+25+8,0.8,3,4;16+24+11,35+25+12,0.8,4,5;16+24+11,40+28+15,0.7,4,5;16+24+11,45+30+20,0.7,4,5;16+24+11,50+35+22,0.6,4,6;16+24+11,53+38+28,0.5,5,6;16+24+11,58+40+33,0.5,5,6;</t>
  </si>
  <si>
    <t>17,25,23</t>
  </si>
  <si>
    <t>17,4,1.5,1,1;17,6,1.2,1,1;17,8,1.2,1,1;17,10,1.1,1,2;17,12,1.1,1,2;17+25,14,1,1,2;17+25,15+8,1,2,3;17+25,17+9,1,3,4;17+25,20+10,0.9,3,4;17+25,22+12,0.9,3,4;17+25,27+20,0.9,3,4;17+25,30+23,0.9,3,4;17+25+23,32+24+3,0.8,3,4;17+25+23,30+25+8,0.8,3,4;17+25+23,35+25+12,0.8,4,5;17+25+23,40+28+15,0.7,4,5;17+25+23,45+30+20,0.7,4,5;17+25+23,50+35+22,0.6,4,6;17+25+23,53+38+28,0.5,5,6;17+25+23,58+40+33,0.5,5,6;</t>
  </si>
  <si>
    <t>18,27,26</t>
  </si>
  <si>
    <t>18,4,1.5,1,1;18,6,1.2,1,1;18,8,1.2,1,1;18,10,1.1,1,2;18,12,1.1,1,2;18+27,14,1,1,2;18+27,15+8,1,2,3;18+27,17+9,1,3,4;18+27,20+10,0.9,3,4;18+27,22+12,0.9,3,4;18+27,27+20,0.9,3,4;18+27,30+23,0.9,3,4;18+27+26,32+24+3,0.8,3,4;18+27+26,30+25+8,0.8,3,4;18+27+26,35+25+12,0.8,4,5;18+27+26,40+28+15,0.7,4,5;18+27+26,45+30+20,0.7,4,5;18+27+26,50+35+22,0.6,4,6;18+27+26,53+38+28,0.5,5,6;18+27+26,58+40+33,0.5,5,6;</t>
  </si>
  <si>
    <t>19,2,28</t>
  </si>
  <si>
    <t>19,4,1.5,1,1;19,6,1.2,1,1;19,8,1.2,1,1;19,10,1.1,1,2;19,12,1.1,1,2;19+2,14,1,1,2;19+2,15+8,1,2,3;19+2,17+9,1,3,4;19+2,20+10,0.9,3,4;19+2,22+12,0.9,3,4;19+2,27+20,0.9,3,4;19+2,30+23,0.9,3,4;19+2+28,32+24+3,0.8,3,4;19+2+28,30+25+8,0.8,3,4;19+2+28,35+25+12,0.8,4,5;19+2+28,40+28+15,0.7,4,5;19+2+28,45+30+20,0.7,4,5;19+2+28,50+35+22,0.6,4,6;19+2+28,53+38+28,0.5,5,6;19+2+28,58+40+33,0.5,5,6;</t>
  </si>
  <si>
    <t>1,5,3</t>
  </si>
  <si>
    <t>1,4,1.5,1,1;1,6,1.2,1,1;1,8,1.2,1,1;1,10,1.1,1,2;1,12,1.1,1,2;1+5,14,1,1,2;1+5,15+8,1,2,3;1+5,17+9,1,3,4;1+5,20+10,0.9,3,4;1+5,22+12,0.9,3,4;1+5,27+20,0.9,3,4;1+5,30+23,0.9,3,4;1+5+3,32+24+3,0.8,3,4;1+5+3,30+25+8,0.8,3,4;1+5+3,35+25+12,0.8,4,5;1+5+3,40+28+15,0.7,4,5;1+5+3,45+30+20,0.7,4,5;1+5+3,50+35+22,0.6,4,6;1+5+3,53+38+28,0.5,5,6;1+5+3,58+40+33,0.5,5,6;</t>
  </si>
  <si>
    <t>5,9,6</t>
  </si>
  <si>
    <t>5,4,1.5,1,1;5,6,1.2,1,1;5,8,1.2,1,1;5,10,1.1,1,2;5,12,1.1,1,2;5+9,14,1,1,2;5+9,15+8,1,2,3;5+9,17+9,1,3,4;5+9,20+10,0.9,3,4;5+9,22+12,0.9,3,4;5+9,27+20,0.9,3,4;5+9,30+23,0.9,3,4;5+9+6,32+24+3,0.8,3,4;5+9+6,30+25+8,0.8,3,4;5+9+6,35+25+12,0.8,4,5;5+9+6,40+28+15,0.7,4,5;5+9+6,45+30+20,0.7,4,5;5+9+6,50+35+22,0.6,4,6;5+9+6,53+38+28,0.5,5,6;5+9+6,58+40+33,0.5,5,6;</t>
  </si>
  <si>
    <t>7,12,8</t>
  </si>
  <si>
    <t>7,4,1.5,1,1;7,6,1.2,1,1;7,8,1.2,1,1;7,10,1.1,1,2;7,12,1.1,1,2;7+12,14,1,1,2;7+12,15+8,1,2,3;7+12,17+9,1,3,4;7+12,20+10,0.9,3,4;7+12,22+12,0.9,3,4;7+12,27+20,0.9,3,4;7+12,30+23,0.9,3,4;7+12+8,32+24+3,0.8,3,4;7+12+8,30+25+8,0.8,3,4;7+12+8,35+25+12,0.8,4,5;7+12+8,40+28+15,0.7,4,5;7+12+8,45+30+20,0.7,4,5;7+12+8,50+35+22,0.6,4,6;7+12+8,53+38+28,0.5,5,6;7+12+8,58+40+33,0.5,5,6;</t>
  </si>
  <si>
    <t>13,9,10</t>
  </si>
  <si>
    <t>13,4,1.5,1,1;13,6,1.2,1,1;13,8,1.2,1,1;13,10,1.1,1,2;13,12,1.1,1,2;13+9,14,1,1,2;13+9,15+8,1,2,3;13+9,17+9,1,3,4;13+9,20+10,0.9,3,4;13+9,22+12,0.9,3,4;13+9,27+20,0.9,3,4;13+9,30+23,0.9,3,4;13+9+10,32+24+3,0.8,3,4;13+9+10,30+25+8,0.8,3,4;13+9+10,35+25+12,0.8,4,5;13+9+10,40+28+15,0.7,4,5;13+9+10,45+30+20,0.7,4,5;13+9+10,50+35+22,0.6,4,6;13+9+10,53+38+28,0.5,5,6;13+9+10,58+40+33,0.5,5,6;</t>
  </si>
  <si>
    <t>13,20,11</t>
  </si>
  <si>
    <t>13,4,1.5,1,1;13,6,1.2,1,1;13,8,1.2,1,1;13,10,1.1,1,2;13,12,1.1,1,2;13+20,14,1,1,2;13+20,15+8,1,2,3;13+20,17+9,1,3,4;13+20,20+10,0.9,3,4;13+20,22+12,0.9,3,4;13+20,27+20,0.9,3,4;13+20,30+23,0.9,3,4;13+20+11,32+24+3,0.8,3,4;13+20+11,30+25+8,0.8,3,4;13+20+11,35+25+12,0.8,4,5;13+20+11,40+28+15,0.7,4,5;13+20+11,45+30+20,0.7,4,5;13+20+11,50+35+22,0.6,4,6;13+20+11,53+38+28,0.5,5,6;13+20+11,58+40+33,0.5,5,6;</t>
  </si>
  <si>
    <t>16,21,23</t>
  </si>
  <si>
    <t>16,4,1.5,1,1;16,6,1.2,1,1;16,8,1.2,1,1;16,10,1.1,1,2;16,12,1.1,1,2;16+21,14,1,1,2;16+21,15+8,1,2,3;16+21,17+9,1,3,4;16+21,20+10,0.9,3,4;16+21,22+12,0.9,3,4;16+21,27+20,0.9,3,4;16+21,30+23,0.9,3,4;16+21+23,32+24+3,0.8,3,4;16+21+23,30+25+8,0.8,3,4;16+21+23,35+25+12,0.8,4,5;16+21+23,40+28+15,0.7,4,5;16+21+23,45+30+20,0.7,4,5;16+21+23,50+35+22,0.6,4,6;16+21+23,53+38+28,0.5,5,6;16+21+23,58+40+33,0.5,5,6;</t>
  </si>
  <si>
    <t>17,22,26</t>
  </si>
  <si>
    <t>17,4,1.5,1,1;17,6,1.2,1,1;17,8,1.2,1,1;17,10,1.1,1,2;17,12,1.1,1,2;17+22,14,1,1,2;17+22,15+8,1,2,3;17+22,17+9,1,3,4;17+22,20+10,0.9,3,4;17+22,22+12,0.9,3,4;17+22,27+20,0.9,3,4;17+22,30+23,0.9,3,4;17+22+26,32+24+3,0.8,3,4;17+22+26,30+25+8,0.8,3,4;17+22+26,35+25+12,0.8,4,5;17+22+26,40+28+15,0.7,4,5;17+22+26,45+30+20,0.7,4,5;17+22+26,50+35+22,0.6,4,6;17+22+26,53+38+28,0.5,5,6;17+22+26,58+40+33,0.5,5,6;</t>
  </si>
  <si>
    <t>18,24,28</t>
  </si>
  <si>
    <t>18,4,1.5,1,1;18,6,1.2,1,1;18,8,1.2,1,1;18,10,1.1,1,2;18,12,1.1,1,2;18+24,14,1,1,2;18+24,15+8,1,2,3;18+24,17+9,1,3,4;18+24,20+10,0.9,3,4;18+24,22+12,0.9,3,4;18+24,27+20,0.9,3,4;18+24,30+23,0.9,3,4;18+24+28,32+24+3,0.8,3,4;18+24+28,30+25+8,0.8,3,4;18+24+28,35+25+12,0.8,4,5;18+24+28,40+28+15,0.7,4,5;18+24+28,45+30+20,0.7,4,5;18+24+28,50+35+22,0.6,4,6;18+24+28,53+38+28,0.5,5,6;18+24+28,58+40+33,0.5,5,6;</t>
  </si>
  <si>
    <t>19,25,3</t>
  </si>
  <si>
    <t>19,4,1.5,1,1;19,6,1.2,1,1;19,8,1.2,1,1;19,10,1.1,1,2;19,12,1.1,1,2;19+25,14,1,1,2;19+25,15+8,1,2,3;19+25,17+9,1,3,4;19+25,20+10,0.9,3,4;19+25,22+12,0.9,3,4;19+25,27+20,0.9,3,4;19+25,30+23,0.9,3,4;19+25+3,32+24+3,0.8,3,4;19+25+3,30+25+8,0.8,3,4;19+25+3,35+25+12,0.8,4,5;19+25+3,40+28+15,0.7,4,5;19+25+3,45+30+20,0.7,4,5;19+25+3,50+35+22,0.6,4,6;19+25+3,53+38+28,0.5,5,6;19+25+3,58+40+33,0.5,5,6;</t>
  </si>
  <si>
    <t>1,27,6</t>
  </si>
  <si>
    <t>1,4,1.5,1,1;1,6,1.2,1,1;1,8,1.2,1,1;1,10,1.1,1,2;1,12,1.1,1,2;1+27,14,1,1,2;1+27,15+8,1,2,3;1+27,17+9,1,3,4;1+27,20+10,0.9,3,4;1+27,22+12,0.9,3,4;1+27,27+20,0.9,3,4;1+27,30+23,0.9,3,4;1+27+6,32+24+3,0.8,3,4;1+27+6,30+25+8,0.8,3,4;1+27+6,35+25+12,0.8,4,5;1+27+6,40+28+15,0.7,4,5;1+27+6,45+30+20,0.7,4,5;1+27+6,50+35+22,0.6,4,6;1+27+6,53+38+28,0.5,5,6;1+27+6,58+40+33,0.5,5,6;</t>
  </si>
  <si>
    <t>5,2,8</t>
  </si>
  <si>
    <t>5,4,1.5,1,1;5,6,1.2,1,1;5,8,1.2,1,1;5,10,1.1,1,2;5,12,1.1,1,2;5+2,14,1,1,2;5+2,15+8,1,2,3;5+2,17+9,1,3,4;5+2,20+10,0.9,3,4;5+2,22+12,0.9,3,4;5+2,27+20,0.9,3,4;5+2,30+23,0.9,3,4;5+2+8,32+24+3,0.8,3,4;5+2+8,30+25+8,0.8,3,4;5+2+8,35+25+12,0.8,4,5;5+2+8,40+28+15,0.7,4,5;5+2+8,45+30+20,0.7,4,5;5+2+8,50+35+22,0.6,4,6;5+2+8,53+38+28,0.5,5,6;5+2+8,58+40+33,0.5,5,6;</t>
  </si>
  <si>
    <t>7,5,10</t>
  </si>
  <si>
    <t>7,4,1.5,1,1;7,6,1.2,1,1;7,8,1.2,1,1;7,10,1.1,1,2;7,12,1.1,1,2;7+5,14,1,1,2;7+5,15+8,1,2,3;7+5,17+9,1,3,4;7+5,20+10,0.9,3,4;7+5,22+12,0.9,3,4;7+5,27+20,0.9,3,4;7+5,30+23,0.9,3,4;7+5+10,32+24+3,0.8,3,4;7+5+10,30+25+8,0.8,3,4;7+5+10,35+25+12,0.8,4,5;7+5+10,40+28+15,0.7,4,5;7+5+10,45+30+20,0.7,4,5;7+5+10,50+35+22,0.6,4,6;7+5+10,53+38+28,0.5,5,6;7+5+10,58+40+33,0.5,5,6;</t>
  </si>
  <si>
    <t>13,9,11</t>
  </si>
  <si>
    <t>13,4,1.5,1,1;13,6,1.2,1,1;13,8,1.2,1,1;13,10,1.1,1,2;13,12,1.1,1,2;13+9,14,1,1,2;13+9,15+8,1,2,3;13+9,17+9,1,3,4;13+9,20+10,0.9,3,4;13+9,22+12,0.9,3,4;13+9,27+20,0.9,3,4;13+9,30+23,0.9,3,4;13+9+11,32+24+3,0.8,3,4;13+9+11,30+25+8,0.8,3,4;13+9+11,35+25+12,0.8,4,5;13+9+11,40+28+15,0.7,4,5;13+9+11,45+30+20,0.7,4,5;13+9+11,50+35+22,0.6,4,6;13+9+11,53+38+28,0.5,5,6;13+9+11,58+40+33,0.5,5,6;</t>
  </si>
  <si>
    <t>13,12,23</t>
  </si>
  <si>
    <t>13,4,1.5,1,1;13,6,1.2,1,1;13,8,1.2,1,1;13,10,1.1,1,2;13,12,1.1,1,2;13+12,14,1,1,2;13+12,15+8,1,2,3;13+12,17+9,1,3,4;13+12,20+10,0.9,3,4;13+12,22+12,0.9,3,4;13+12,27+20,0.9,3,4;13+12,30+23,0.9,3,4;13+12+23,32+24+3,0.8,3,4;13+12+23,30+25+8,0.8,3,4;13+12+23,35+25+12,0.8,4,5;13+12+23,40+28+15,0.7,4,5;13+12+23,45+30+20,0.7,4,5;13+12+23,50+35+22,0.6,4,6;13+12+23,53+38+28,0.5,5,6;13+12+23,58+40+33,0.5,5,6;</t>
  </si>
  <si>
    <t>16,15,26</t>
  </si>
  <si>
    <t>16,4,1.5,1,1;16,6,1.2,1,1;16,8,1.2,1,1;16,10,1.1,1,2;16,12,1.1,1,2;16+15,14,1,1,2;16+15,15+8,1,2,3;16+15,17+9,1,3,4;16+15,20+10,0.9,3,4;16+15,22+12,0.9,3,4;16+15,27+20,0.9,3,4;16+15,30+23,0.9,3,4;16+15+26,32+24+3,0.8,3,4;16+15+26,30+25+8,0.8,3,4;16+15+26,35+25+12,0.8,4,5;16+15+26,40+28+15,0.7,4,5;16+15+26,45+30+20,0.7,4,5;16+15+26,50+35+22,0.6,4,6;16+15+26,53+38+28,0.5,5,6;16+15+26,58+40+33,0.5,5,6;</t>
  </si>
  <si>
    <t>17,20,28</t>
  </si>
  <si>
    <t>17,4,1.5,1,1;17,6,1.2,1,1;17,8,1.2,1,1;17,10,1.1,1,2;17,12,1.1,1,2;17+20,14,1,1,2;17+20,15+8,1,2,3;17+20,17+9,1,3,4;17+20,20+10,0.9,3,4;17+20,22+12,0.9,3,4;17+20,27+20,0.9,3,4;17+20,30+23,0.9,3,4;17+20+28,32+24+3,0.8,3,4;17+20+28,30+25+8,0.8,3,4;17+20+28,35+25+12,0.8,4,5;17+20+28,40+28+15,0.7,4,5;17+20+28,45+30+20,0.7,4,5;17+20+28,50+35+22,0.6,4,6;17+20+28,53+38+28,0.5,5,6;17+20+28,58+40+33,0.5,5,6;</t>
  </si>
  <si>
    <t>18,21,3</t>
  </si>
  <si>
    <t>18,4,1.5,1,1;18,6,1.2,1,1;18,8,1.2,1,1;18,10,1.1,1,2;18,12,1.1,1,2;18+21,14,1,1,2;18+21,15+8,1,2,3;18+21,17+9,1,3,4;18+21,20+10,0.9,3,4;18+21,22+12,0.9,3,4;18+21,27+20,0.9,3,4;18+21,30+23,0.9,3,4;18+21+3,32+24+3,0.8,3,4;18+21+3,30+25+8,0.8,3,4;18+21+3,35+25+12,0.8,4,5;18+21+3,40+28+15,0.7,4,5;18+21+3,45+30+20,0.7,4,5;18+21+3,50+35+22,0.6,4,6;18+21+3,53+38+28,0.5,5,6;18+21+3,58+40+33,0.5,5,6;</t>
  </si>
  <si>
    <t>19,22,6</t>
  </si>
  <si>
    <t>19,4,1.5,1,1;19,6,1.2,1,1;19,8,1.2,1,1;19,10,1.1,1,2;19,12,1.1,1,2;19+22,14,1,1,2;19+22,15+8,1,2,3;19+22,17+9,1,3,4;19+22,20+10,0.9,3,4;19+22,22+12,0.9,3,4;19+22,27+20,0.9,3,4;19+22,30+23,0.9,3,4;19+22+6,32+24+3,0.8,3,4;19+22+6,30+25+8,0.8,3,4;19+22+6,35+25+12,0.8,4,5;19+22+6,40+28+15,0.7,4,5;19+22+6,45+30+20,0.7,4,5;19+22+6,50+35+22,0.6,4,6;19+22+6,53+38+28,0.5,5,6;19+22+6,58+40+33,0.5,5,6;</t>
  </si>
  <si>
    <t>1,24,8</t>
  </si>
  <si>
    <t>1,4,1.5,1,1;1,6,1.2,1,1;1,8,1.2,1,1;1,10,1.1,1,2;1,12,1.1,1,2;1+24,14,1,1,2;1+24,15+8,1,2,3;1+24,17+9,1,3,4;1+24,20+10,0.9,3,4;1+24,22+12,0.9,3,4;1+24,27+20,0.9,3,4;1+24,30+23,0.9,3,4;1+24+8,32+24+3,0.8,3,4;1+24+8,30+25+8,0.8,3,4;1+24+8,35+25+12,0.8,4,5;1+24+8,40+28+15,0.7,4,5;1+24+8,45+30+20,0.7,4,5;1+24+8,50+35+22,0.6,4,6;1+24+8,53+38+28,0.5,5,6;1+24+8,58+40+33,0.5,5,6;</t>
  </si>
  <si>
    <t>5,25,10</t>
  </si>
  <si>
    <t>5,4,1.5,1,1;5,6,1.2,1,1;5,8,1.2,1,1;5,10,1.1,1,2;5,12,1.1,1,2;5+25,14,1,1,2;5+25,15+8,1,2,3;5+25,17+9,1,3,4;5+25,20+10,0.9,3,4;5+25,22+12,0.9,3,4;5+25,27+20,0.9,3,4;5+25,30+23,0.9,3,4;5+25+10,32+24+3,0.8,3,4;5+25+10,30+25+8,0.8,3,4;5+25+10,35+25+12,0.8,4,5;5+25+10,40+28+15,0.7,4,5;5+25+10,45+30+20,0.7,4,5;5+25+10,50+35+22,0.6,4,6;5+25+10,53+38+28,0.5,5,6;5+25+10,58+40+33,0.5,5,6;</t>
  </si>
  <si>
    <t>7,24,11</t>
  </si>
  <si>
    <t>7,4,1.5,1,1;7,6,1.2,1,1;7,8,1.2,1,1;7,10,1.1,1,2;7,12,1.1,1,2;7+24,14,1,1,2;7+24,15+8,1,2,3;7+24,17+9,1,3,4;7+24,20+10,0.9,3,4;7+24,22+12,0.9,3,4;7+24,27+20,0.9,3,4;7+24,30+23,0.9,3,4;7+24+11,32+24+3,0.8,3,4;7+24+11,30+25+8,0.8,3,4;7+24+11,35+25+12,0.8,4,5;7+24+11,40+28+15,0.7,4,5;7+24+11,45+30+20,0.7,4,5;7+24+11,50+35+22,0.6,4,6;7+24+11,53+38+28,0.5,5,6;7+24+11,58+40+33,0.5,5,6;</t>
  </si>
  <si>
    <t>13,2,23</t>
  </si>
  <si>
    <t>13,4,1.5,1,1;13,6,1.2,1,1;13,8,1.2,1,1;13,10,1.1,1,2;13,12,1.1,1,2;13+2,14,1,1,2;13+2,15+8,1,2,3;13+2,17+9,1,3,4;13+2,20+10,0.9,3,4;13+2,22+12,0.9,3,4;13+2,27+20,0.9,3,4;13+2,30+23,0.9,3,4;13+2+23,32+24+3,0.8,3,4;13+2+23,30+25+8,0.8,3,4;13+2+23,35+25+12,0.8,4,5;13+2+23,40+28+15,0.7,4,5;13+2+23,45+30+20,0.7,4,5;13+2+23,50+35+22,0.6,4,6;13+2+23,53+38+28,0.5,5,6;13+2+23,58+40+33,0.5,5,6;</t>
  </si>
  <si>
    <t>13,4,26</t>
  </si>
  <si>
    <t>13,4,1.5,1,1;13,6,1.2,1,1;13,8,1.2,1,1;13,10,1.1,1,2;13,12,1.1,1,2;13+4,14,1,1,2;13+4,15+8,1,2,3;13+4,17+9,1,3,4;13+4,20+10,0.9,3,4;13+4,22+12,0.9,3,4;13+4,27+20,0.9,3,4;13+4,30+23,0.9,3,4;13+4+26,32+24+3,0.8,3,4;13+4+26,30+25+8,0.8,3,4;13+4+26,35+25+12,0.8,4,5;13+4+26,40+28+15,0.7,4,5;13+4+26,45+30+20,0.7,4,5;13+4+26,50+35+22,0.6,4,6;13+4+26,53+38+28,0.5,5,6;13+4+26,58+40+33,0.5,5,6;</t>
  </si>
  <si>
    <t>16,9,28</t>
  </si>
  <si>
    <t>16,4,1.5,1,1;16,6,1.2,1,1;16,8,1.2,1,1;16,10,1.1,1,2;16,12,1.1,1,2;16+9,14,1,1,2;16+9,15+8,1,2,3;16+9,17+9,1,3,4;16+9,20+10,0.9,3,4;16+9,22+12,0.9,3,4;16+9,27+20,0.9,3,4;16+9,30+23,0.9,3,4;16+9+28,32+24+3,0.8,3,4;16+9+28,30+25+8,0.8,3,4;16+9+28,35+25+12,0.8,4,5;16+9+28,40+28+15,0.7,4,5;16+9+28,45+30+20,0.7,4,5;16+9+28,50+35+22,0.6,4,6;16+9+28,53+38+28,0.5,5,6;16+9+28,58+40+33,0.5,5,6;</t>
  </si>
  <si>
    <t>17,12,3</t>
  </si>
  <si>
    <t>17,4,1.5,1,1;17,6,1.2,1,1;17,8,1.2,1,1;17,10,1.1,1,2;17,12,1.1,1,2;17+12,14,1,1,2;17+12,15+8,1,2,3;17+12,17+9,1,3,4;17+12,20+10,0.9,3,4;17+12,22+12,0.9,3,4;17+12,27+20,0.9,3,4;17+12,30+23,0.9,3,4;17+12+3,32+24+3,0.8,3,4;17+12+3,30+25+8,0.8,3,4;17+12+3,35+25+12,0.8,4,5;17+12+3,40+28+15,0.7,4,5;17+12+3,45+30+20,0.7,4,5;17+12+3,50+35+22,0.6,4,6;17+12+3,53+38+28,0.5,5,6;17+12+3,58+40+33,0.5,5,6;</t>
  </si>
  <si>
    <t>18,15,6</t>
  </si>
  <si>
    <t>18,4,1.5,1,1;18,6,1.2,1,1;18,8,1.2,1,1;18,10,1.1,1,2;18,12,1.1,1,2;18+15,14,1,1,2;18+15,15+8,1,2,3;18+15,17+9,1,3,4;18+15,20+10,0.9,3,4;18+15,22+12,0.9,3,4;18+15,27+20,0.9,3,4;18+15,30+23,0.9,3,4;18+15+6,32+24+3,0.8,3,4;18+15+6,30+25+8,0.8,3,4;18+15+6,35+25+12,0.8,4,5;18+15+6,40+28+15,0.7,4,5;18+15+6,45+30+20,0.7,4,5;18+15+6,50+35+22,0.6,4,6;18+15+6,53+38+28,0.5,5,6;18+15+6,58+40+33,0.5,5,6;</t>
  </si>
  <si>
    <t>19,20,8</t>
  </si>
  <si>
    <t>19,4,1.5,1,1;19,6,1.2,1,1;19,8,1.2,1,1;19,10,1.1,1,2;19,12,1.1,1,2;19+20,14,1,1,2;19+20,15+8,1,2,3;19+20,17+9,1,3,4;19+20,20+10,0.9,3,4;19+20,22+12,0.9,3,4;19+20,27+20,0.9,3,4;19+20,30+23,0.9,3,4;19+20+8,32+24+3,0.8,3,4;19+20+8,30+25+8,0.8,3,4;19+20+8,35+25+12,0.8,4,5;19+20+8,40+28+15,0.7,4,5;19+20+8,45+30+20,0.7,4,5;19+20+8,50+35+22,0.6,4,6;19+20+8,53+38+28,0.5,5,6;19+20+8,58+40+33,0.5,5,6;</t>
  </si>
  <si>
    <t>1,21,10</t>
  </si>
  <si>
    <t>1,4,1.5,1,1;1,6,1.2,1,1;1,8,1.2,1,1;1,10,1.1,1,2;1,12,1.1,1,2;1+21,14,1,1,2;1+21,15+8,1,2,3;1+21,17+9,1,3,4;1+21,20+10,0.9,3,4;1+21,22+12,0.9,3,4;1+21,27+20,0.9,3,4;1+21,30+23,0.9,3,4;1+21+10,32+24+3,0.8,3,4;1+21+10,30+25+8,0.8,3,4;1+21+10,35+25+12,0.8,4,5;1+21+10,40+28+15,0.7,4,5;1+21+10,45+30+20,0.7,4,5;1+21+10,50+35+22,0.6,4,6;1+21+10,53+38+28,0.5,5,6;1+21+10,58+40+33,0.5,5,6;</t>
  </si>
  <si>
    <t>5,22,11</t>
  </si>
  <si>
    <t>5,4,1.5,1,1;5,6,1.2,1,1;5,8,1.2,1,1;5,10,1.1,1,2;5,12,1.1,1,2;5+22,14,1,1,2;5+22,15+8,1,2,3;5+22,17+9,1,3,4;5+22,20+10,0.9,3,4;5+22,22+12,0.9,3,4;5+22,27+20,0.9,3,4;5+22,30+23,0.9,3,4;5+22+11,32+24+3,0.8,3,4;5+22+11,30+25+8,0.8,3,4;5+22+11,35+25+12,0.8,4,5;5+22+11,40+28+15,0.7,4,5;5+22+11,45+30+20,0.7,4,5;5+22+11,50+35+22,0.6,4,6;5+22+11,53+38+28,0.5,5,6;5+22+11,58+40+33,0.5,5,6;</t>
  </si>
  <si>
    <t>7,24,23</t>
  </si>
  <si>
    <t>7,4,1.5,1,1;7,6,1.2,1,1;7,8,1.2,1,1;7,10,1.1,1,2;7,12,1.1,1,2;7+24,14,1,1,2;7+24,15+8,1,2,3;7+24,17+9,1,3,4;7+24,20+10,0.9,3,4;7+24,22+12,0.9,3,4;7+24,27+20,0.9,3,4;7+24,30+23,0.9,3,4;7+24+23,32+24+3,0.8,3,4;7+24+23,30+25+8,0.8,3,4;7+24+23,35+25+12,0.8,4,5;7+24+23,40+28+15,0.7,4,5;7+24+23,45+30+20,0.7,4,5;7+24+23,50+35+22,0.6,4,6;7+24+23,53+38+28,0.5,5,6;7+24+23,58+40+33,0.5,5,6;</t>
  </si>
  <si>
    <t>13,25,26</t>
  </si>
  <si>
    <t>13,4,1.5,1,1;13,6,1.2,1,1;13,8,1.2,1,1;13,10,1.1,1,2;13,12,1.1,1,2;13+25,14,1,1,2;13+25,15+8,1,2,3;13+25,17+9,1,3,4;13+25,20+10,0.9,3,4;13+25,22+12,0.9,3,4;13+25,27+20,0.9,3,4;13+25,30+23,0.9,3,4;13+25+26,32+24+3,0.8,3,4;13+25+26,30+25+8,0.8,3,4;13+25+26,35+25+12,0.8,4,5;13+25+26,40+28+15,0.7,4,5;13+25+26,45+30+20,0.7,4,5;13+25+26,50+35+22,0.6,4,6;13+25+26,53+38+28,0.5,5,6;13+25+26,58+40+33,0.5,5,6;</t>
  </si>
  <si>
    <t>13,24,28</t>
  </si>
  <si>
    <t>13,4,1.5,1,1;13,6,1.2,1,1;13,8,1.2,1,1;13,10,1.1,1,2;13,12,1.1,1,2;13+24,14,1,1,2;13+24,15+8,1,2,3;13+24,17+9,1,3,4;13+24,20+10,0.9,3,4;13+24,22+12,0.9,3,4;13+24,27+20,0.9,3,4;13+24,30+23,0.9,3,4;13+24+28,32+24+3,0.8,3,4;13+24+28,30+25+8,0.8,3,4;13+24+28,35+25+12,0.8,4,5;13+24+28,40+28+15,0.7,4,5;13+24+28,45+30+20,0.7,4,5;13+24+28,50+35+22,0.6,4,6;13+24+28,53+38+28,0.5,5,6;13+24+28,58+40+33,0.5,5,6;</t>
  </si>
  <si>
    <t>16,2,3</t>
  </si>
  <si>
    <t>16,4,1.5,1,1;16,6,1.2,1,1;16,8,1.2,1,1;16,10,1.1,1,2;16,12,1.1,1,2;16+2,14,1,1,2;16+2,15+8,1,2,3;16+2,17+9,1,3,4;16+2,20+10,0.9,3,4;16+2,22+12,0.9,3,4;16+2,27+20,0.9,3,4;16+2,30+23,0.9,3,4;16+2+3,32+24+3,0.8,3,4;16+2+3,30+25+8,0.8,3,4;16+2+3,35+25+12,0.8,4,5;16+2+3,40+28+15,0.7,4,5;16+2+3,45+30+20,0.7,4,5;16+2+3,50+35+22,0.6,4,6;16+2+3,53+38+28,0.5,5,6;16+2+3,58+40+33,0.5,5,6;</t>
  </si>
  <si>
    <t>17,4,6</t>
  </si>
  <si>
    <t>17,4,1.5,1,1;17,6,1.2,1,1;17,8,1.2,1,1;17,10,1.1,1,2;17,12,1.1,1,2;17+4,14,1,1,2;17+4,15+8,1,2,3;17+4,17+9,1,3,4;17+4,20+10,0.9,3,4;17+4,22+12,0.9,3,4;17+4,27+20,0.9,3,4;17+4,30+23,0.9,3,4;17+4+6,32+24+3,0.8,3,4;17+4+6,30+25+8,0.8,3,4;17+4+6,35+25+12,0.8,4,5;17+4+6,40+28+15,0.7,4,5;17+4+6,45+30+20,0.7,4,5;17+4+6,50+35+22,0.6,4,6;17+4+6,53+38+28,0.5,5,6;17+4+6,58+40+33,0.5,5,6;</t>
  </si>
  <si>
    <t>18,9,8</t>
  </si>
  <si>
    <t>18,4,1.5,1,1;18,6,1.2,1,1;18,8,1.2,1,1;18,10,1.1,1,2;18,12,1.1,1,2;18+9,14,1,1,2;18+9,15+8,1,2,3;18+9,17+9,1,3,4;18+9,20+10,0.9,3,4;18+9,22+12,0.9,3,4;18+9,27+20,0.9,3,4;18+9,30+23,0.9,3,4;18+9+8,32+24+3,0.8,3,4;18+9+8,30+25+8,0.8,3,4;18+9+8,35+25+12,0.8,4,5;18+9+8,40+28+15,0.7,4,5;18+9+8,45+30+20,0.7,4,5;18+9+8,50+35+22,0.6,4,6;18+9+8,53+38+28,0.5,5,6;18+9+8,58+40+33,0.5,5,6;</t>
  </si>
  <si>
    <t>19,12,10</t>
  </si>
  <si>
    <t>19,4,1.5,1,1;19,6,1.2,1,1;19,8,1.2,1,1;19,10,1.1,1,2;19,12,1.1,1,2;19+12,14,1,1,2;19+12,15+8,1,2,3;19+12,17+9,1,3,4;19+12,20+10,0.9,3,4;19+12,22+12,0.9,3,4;19+12,27+20,0.9,3,4;19+12,30+23,0.9,3,4;19+12+10,32+24+3,0.8,3,4;19+12+10,30+25+8,0.8,3,4;19+12+10,35+25+12,0.8,4,5;19+12+10,40+28+15,0.7,4,5;19+12+10,45+30+20,0.7,4,5;19+12+10,50+35+22,0.6,4,6;19+12+10,53+38+28,0.5,5,6;19+12+10,58+40+33,0.5,5,6;</t>
  </si>
  <si>
    <t>1,9,11</t>
  </si>
  <si>
    <t>1,4,1.5,1,1;1,6,1.2,1,1;1,8,1.2,1,1;1,10,1.1,1,2;1,12,1.1,1,2;1+9,14,1,1,2;1+9,15+8,1,2,3;1+9,17+9,1,3,4;1+9,20+10,0.9,3,4;1+9,22+12,0.9,3,4;1+9,27+20,0.9,3,4;1+9,30+23,0.9,3,4;1+9+11,32+24+3,0.8,3,4;1+9+11,30+25+8,0.8,3,4;1+9+11,35+25+12,0.8,4,5;1+9+11,40+28+15,0.7,4,5;1+9+11,45+30+20,0.7,4,5;1+9+11,50+35+22,0.6,4,6;1+9+11,53+38+28,0.5,5,6;1+9+11,58+40+33,0.5,5,6;</t>
  </si>
  <si>
    <t>5,20,23</t>
  </si>
  <si>
    <t>5,4,1.5,1,1;5,6,1.2,1,1;5,8,1.2,1,1;5,10,1.1,1,2;5,12,1.1,1,2;5+20,14,1,1,2;5+20,15+8,1,2,3;5+20,17+9,1,3,4;5+20,20+10,0.9,3,4;5+20,22+12,0.9,3,4;5+20,27+20,0.9,3,4;5+20,30+23,0.9,3,4;5+20+23,32+24+3,0.8,3,4;5+20+23,30+25+8,0.8,3,4;5+20+23,35+25+12,0.8,4,5;5+20+23,40+28+15,0.7,4,5;5+20+23,45+30+20,0.7,4,5;5+20+23,50+35+22,0.6,4,6;5+20+23,53+38+28,0.5,5,6;5+20+23,58+40+33,0.5,5,6;</t>
  </si>
  <si>
    <t>7,21,26</t>
  </si>
  <si>
    <t>7,4,1.5,1,1;7,6,1.2,1,1;7,8,1.2,1,1;7,10,1.1,1,2;7,12,1.1,1,2;7+21,14,1,1,2;7+21,15+8,1,2,3;7+21,17+9,1,3,4;7+21,20+10,0.9,3,4;7+21,22+12,0.9,3,4;7+21,27+20,0.9,3,4;7+21,30+23,0.9,3,4;7+21+26,32+24+3,0.8,3,4;7+21+26,30+25+8,0.8,3,4;7+21+26,35+25+12,0.8,4,5;7+21+26,40+28+15,0.7,4,5;7+21+26,45+30+20,0.7,4,5;7+21+26,50+35+22,0.6,4,6;7+21+26,53+38+28,0.5,5,6;7+21+26,58+40+33,0.5,5,6;</t>
  </si>
  <si>
    <t>13,22,28</t>
  </si>
  <si>
    <t>13,4,1.5,1,1;13,6,1.2,1,1;13,8,1.2,1,1;13,10,1.1,1,2;13,12,1.1,1,2;13+22,14,1,1,2;13+22,15+8,1,2,3;13+22,17+9,1,3,4;13+22,20+10,0.9,3,4;13+22,22+12,0.9,3,4;13+22,27+20,0.9,3,4;13+22,30+23,0.9,3,4;13+22+28,32+24+3,0.8,3,4;13+22+28,30+25+8,0.8,3,4;13+22+28,35+25+12,0.8,4,5;13+22+28,40+28+15,0.7,4,5;13+22+28,45+30+20,0.7,4,5;13+22+28,50+35+22,0.6,4,6;13+22+28,53+38+28,0.5,5,6;13+22+28,58+40+33,0.5,5,6;</t>
  </si>
  <si>
    <t>13,24,3</t>
  </si>
  <si>
    <t>13,4,1.5,1,1;13,6,1.2,1,1;13,8,1.2,1,1;13,10,1.1,1,2;13,12,1.1,1,2;13+24,14,1,1,2;13+24,15+8,1,2,3;13+24,17+9,1,3,4;13+24,20+10,0.9,3,4;13+24,22+12,0.9,3,4;13+24,27+20,0.9,3,4;13+24,30+23,0.9,3,4;13+24+3,32+24+3,0.8,3,4;13+24+3,30+25+8,0.8,3,4;13+24+3,35+25+12,0.8,4,5;13+24+3,40+28+15,0.7,4,5;13+24+3,45+30+20,0.7,4,5;13+24+3,50+35+22,0.6,4,6;13+24+3,53+38+28,0.5,5,6;13+24+3,58+40+33,0.5,5,6;</t>
  </si>
  <si>
    <t>16,25,6</t>
  </si>
  <si>
    <t>16,4,1.5,1,1;16,6,1.2,1,1;16,8,1.2,1,1;16,10,1.1,1,2;16,12,1.1,1,2;16+25,14,1,1,2;16+25,15+8,1,2,3;16+25,17+9,1,3,4;16+25,20+10,0.9,3,4;16+25,22+12,0.9,3,4;16+25,27+20,0.9,3,4;16+25,30+23,0.9,3,4;16+25+6,32+24+3,0.8,3,4;16+25+6,30+25+8,0.8,3,4;16+25+6,35+25+12,0.8,4,5;16+25+6,40+28+15,0.7,4,5;16+25+6,45+30+20,0.7,4,5;16+25+6,50+35+22,0.6,4,6;16+25+6,53+38+28,0.5,5,6;16+25+6,58+40+33,0.5,5,6;</t>
  </si>
  <si>
    <t>17,27,8</t>
  </si>
  <si>
    <t>17,4,1.5,1,1;17,6,1.2,1,1;17,8,1.2,1,1;17,10,1.1,1,2;17,12,1.1,1,2;17+27,14,1,1,2;17+27,15+8,1,2,3;17+27,17+9,1,3,4;17+27,20+10,0.9,3,4;17+27,22+12,0.9,3,4;17+27,27+20,0.9,3,4;17+27,30+23,0.9,3,4;17+27+8,32+24+3,0.8,3,4;17+27+8,30+25+8,0.8,3,4;17+27+8,35+25+12,0.8,4,5;17+27+8,40+28+15,0.7,4,5;17+27+8,45+30+20,0.7,4,5;17+27+8,50+35+22,0.6,4,6;17+27+8,53+38+28,0.5,5,6;17+27+8,58+40+33,0.5,5,6;</t>
  </si>
  <si>
    <t>18,2,10</t>
  </si>
  <si>
    <t>18,4,1.5,1,1;18,6,1.2,1,1;18,8,1.2,1,1;18,10,1.1,1,2;18,12,1.1,1,2;18+2,14,1,1,2;18+2,15+8,1,2,3;18+2,17+9,1,3,4;18+2,20+10,0.9,3,4;18+2,22+12,0.9,3,4;18+2,27+20,0.9,3,4;18+2,30+23,0.9,3,4;18+2+10,32+24+3,0.8,3,4;18+2+10,30+25+8,0.8,3,4;18+2+10,35+25+12,0.8,4,5;18+2+10,40+28+15,0.7,4,5;18+2+10,45+30+20,0.7,4,5;18+2+10,50+35+22,0.6,4,6;18+2+10,53+38+28,0.5,5,6;18+2+10,58+40+33,0.5,5,6;</t>
  </si>
  <si>
    <t>19,5,11</t>
  </si>
  <si>
    <t>19,4,1.5,1,1;19,6,1.2,1,1;19,8,1.2,1,1;19,10,1.1,1,2;19,12,1.1,1,2;19+5,14,1,1,2;19+5,15+8,1,2,3;19+5,17+9,1,3,4;19+5,20+10,0.9,3,4;19+5,22+12,0.9,3,4;19+5,27+20,0.9,3,4;19+5,30+23,0.9,3,4;19+5+11,32+24+3,0.8,3,4;19+5+11,30+25+8,0.8,3,4;19+5+11,35+25+12,0.8,4,5;19+5+11,40+28+15,0.7,4,5;19+5+11,45+30+20,0.7,4,5;19+5+11,50+35+22,0.6,4,6;19+5+11,53+38+28,0.5,5,6;19+5+11,58+40+33,0.5,5,6;</t>
  </si>
  <si>
    <t>1,9,23</t>
  </si>
  <si>
    <t>1,4,1.5,1,1;1,6,1.2,1,1;1,8,1.2,1,1;1,10,1.1,1,2;1,12,1.1,1,2;1+9,14,1,1,2;1+9,15+8,1,2,3;1+9,17+9,1,3,4;1+9,20+10,0.9,3,4;1+9,22+12,0.9,3,4;1+9,27+20,0.9,3,4;1+9,30+23,0.9,3,4;1+9+23,32+24+3,0.8,3,4;1+9+23,30+25+8,0.8,3,4;1+9+23,35+25+12,0.8,4,5;1+9+23,40+28+15,0.7,4,5;1+9+23,45+30+20,0.7,4,5;1+9+23,50+35+22,0.6,4,6;1+9+23,53+38+28,0.5,5,6;1+9+23,58+40+33,0.5,5,6;</t>
  </si>
  <si>
    <t>5,12,26</t>
  </si>
  <si>
    <t>5,4,1.5,1,1;5,6,1.2,1,1;5,8,1.2,1,1;5,10,1.1,1,2;5,12,1.1,1,2;5+12,14,1,1,2;5+12,15+8,1,2,3;5+12,17+9,1,3,4;5+12,20+10,0.9,3,4;5+12,22+12,0.9,3,4;5+12,27+20,0.9,3,4;5+12,30+23,0.9,3,4;5+12+26,32+24+3,0.8,3,4;5+12+26,30+25+8,0.8,3,4;5+12+26,35+25+12,0.8,4,5;5+12+26,40+28+15,0.7,4,5;5+12+26,45+30+20,0.7,4,5;5+12+26,50+35+22,0.6,4,6;5+12+26,53+38+28,0.5,5,6;5+12+26,58+40+33,0.5,5,6;</t>
  </si>
  <si>
    <t>7,9,28</t>
  </si>
  <si>
    <t>7,4,1.5,1,1;7,6,1.2,1,1;7,8,1.2,1,1;7,10,1.1,1,2;7,12,1.1,1,2;7+9,14,1,1,2;7+9,15+8,1,2,3;7+9,17+9,1,3,4;7+9,20+10,0.9,3,4;7+9,22+12,0.9,3,4;7+9,27+20,0.9,3,4;7+9,30+23,0.9,3,4;7+9+28,32+24+3,0.8,3,4;7+9+28,30+25+8,0.8,3,4;7+9+28,35+25+12,0.8,4,5;7+9+28,40+28+15,0.7,4,5;7+9+28,45+30+20,0.7,4,5;7+9+28,50+35+22,0.6,4,6;7+9+28,53+38+28,0.5,5,6;7+9+28,58+40+33,0.5,5,6;</t>
  </si>
  <si>
    <t>13,20,3</t>
  </si>
  <si>
    <t>13,4,1.5,1,1;13,6,1.2,1,1;13,8,1.2,1,1;13,10,1.1,1,2;13,12,1.1,1,2;13+20,14,1,1,2;13+20,15+8,1,2,3;13+20,17+9,1,3,4;13+20,20+10,0.9,3,4;13+20,22+12,0.9,3,4;13+20,27+20,0.9,3,4;13+20,30+23,0.9,3,4;13+20+3,32+24+3,0.8,3,4;13+20+3,30+25+8,0.8,3,4;13+20+3,35+25+12,0.8,4,5;13+20+3,40+28+15,0.7,4,5;13+20+3,45+30+20,0.7,4,5;13+20+3,50+35+22,0.6,4,6;13+20+3,53+38+28,0.5,5,6;13+20+3,58+40+33,0.5,5,6;</t>
  </si>
  <si>
    <t>14,21,6</t>
  </si>
  <si>
    <t>14,4,1.5,1,1;14,6,1.2,1,1;14,8,1.2,1,1;14,10,1.1,1,2;14,12,1.1,1,2;14+21,14,1,1,2;14+21,15+8,1,2,3;14+21,17+9,1,3,4;14+21,20+10,0.9,3,4;14+21,22+12,0.9,3,4;14+21,27+20,0.9,3,4;14+21,30+23,0.9,3,4;14+21+6,32+24+3,0.8,3,4;14+21+6,30+25+8,0.8,3,4;14+21+6,35+25+12,0.8,4,5;14+21+6,40+28+15,0.7,4,5;14+21+6,45+30+20,0.7,4,5;14+21+6,50+35+22,0.6,4,6;14+21+6,53+38+28,0.5,5,6;14+21+6,58+40+33,0.5,5,6;</t>
  </si>
  <si>
    <t>16,22,8</t>
  </si>
  <si>
    <t>16,4,1.5,1,1;16,6,1.2,1,1;16,8,1.2,1,1;16,10,1.1,1,2;16,12,1.1,1,2;16+22,14,1,1,2;16+22,15+8,1,2,3;16+22,17+9,1,3,4;16+22,20+10,0.9,3,4;16+22,22+12,0.9,3,4;16+22,27+20,0.9,3,4;16+22,30+23,0.9,3,4;16+22+8,32+24+3,0.8,3,4;16+22+8,30+25+8,0.8,3,4;16+22+8,35+25+12,0.8,4,5;16+22+8,40+28+15,0.7,4,5;16+22+8,45+30+20,0.7,4,5;16+22+8,50+35+22,0.6,4,6;16+22+8,53+38+28,0.5,5,6;16+22+8,58+40+33,0.5,5,6;</t>
  </si>
  <si>
    <t>17,24,10</t>
  </si>
  <si>
    <t>17,4,1.5,1,1;17,6,1.2,1,1;17,8,1.2,1,1;17,10,1.1,1,2;17,12,1.1,1,2;17+24,14,1,1,2;17+24,15+8,1,2,3;17+24,17+9,1,3,4;17+24,20+10,0.9,3,4;17+24,22+12,0.9,3,4;17+24,27+20,0.9,3,4;17+24,30+23,0.9,3,4;17+24+10,32+24+3,0.8,3,4;17+24+10,30+25+8,0.8,3,4;17+24+10,35+25+12,0.8,4,5;17+24+10,40+28+15,0.7,4,5;17+24+10,45+30+20,0.7,4,5;17+24+10,50+35+22,0.6,4,6;17+24+10,53+38+28,0.5,5,6;17+24+10,58+40+33,0.5,5,6;</t>
  </si>
  <si>
    <t>19,24,23</t>
  </si>
  <si>
    <t>19,4,1.5,1,1;19,6,1.2,1,1;19,8,1.2,1,1;19,10,1.1,1,2;19,12,1.1,1,2;19+24,14,1,1,2;19+24,15+8,1,2,3;19+24,17+9,1,3,4;19+24,20+10,0.9,3,4;19+24,22+12,0.9,3,4;19+24,27+20,0.9,3,4;19+24,30+23,0.9,3,4;19+24+23,32+24+3,0.8,3,4;19+24+23,30+25+8,0.8,3,4;19+24+23,35+25+12,0.8,4,5;19+24+23,40+28+15,0.7,4,5;19+24+23,45+30+20,0.7,4,5;19+24+23,50+35+22,0.6,4,6;19+24+23,53+38+28,0.5,5,6;19+24+23,58+40+33,0.5,5,6;</t>
  </si>
  <si>
    <t>18,2,26</t>
  </si>
  <si>
    <t>18,4,1.5,1,1;18,6,1.2,1,1;18,8,1.2,1,1;18,10,1.1,1,2;18,12,1.1,1,2;18+2,14,1,1,2;18+2,15+8,1,2,3;18+2,17+9,1,3,4;18+2,20+10,0.9,3,4;18+2,22+12,0.9,3,4;18+2,27+20,0.9,3,4;18+2,30+23,0.9,3,4;18+2+26,32+24+3,0.8,3,4;18+2+26,30+25+8,0.8,3,4;18+2+26,35+25+12,0.8,4,5;18+2+26,40+28+15,0.7,4,5;18+2+26,45+30+20,0.7,4,5;18+2+26,50+35+22,0.6,4,6;18+2+26,53+38+28,0.5,5,6;18+2+26,58+40+33,0.5,5,6;</t>
  </si>
  <si>
    <t>19,5,28</t>
  </si>
  <si>
    <t>19,4,1.5,1,1;19,6,1.2,1,1;19,8,1.2,1,1;19,10,1.1,1,2;19,12,1.1,1,2;19+5,14,1,1,2;19+5,15+8,1,2,3;19+5,17+9,1,3,4;19+5,20+10,0.9,3,4;19+5,22+12,0.9,3,4;19+5,27+20,0.9,3,4;19+5,30+23,0.9,3,4;19+5+28,32+24+3,0.8,3,4;19+5+28,30+25+8,0.8,3,4;19+5+28,35+25+12,0.8,4,5;19+5+28,40+28+15,0.7,4,5;19+5+28,45+30+20,0.7,4,5;19+5+28,50+35+22,0.6,4,6;19+5+28,53+38+28,0.5,5,6;19+5+28,58+40+33,0.5,5,6;</t>
  </si>
  <si>
    <t>1,9,3</t>
  </si>
  <si>
    <t>1,4,1.5,1,1;1,6,1.2,1,1;1,8,1.2,1,1;1,10,1.1,1,2;1,12,1.1,1,2;1+9,14,1,1,2;1+9,15+8,1,2,3;1+9,17+9,1,3,4;1+9,20+10,0.9,3,4;1+9,22+12,0.9,3,4;1+9,27+20,0.9,3,4;1+9,30+23,0.9,3,4;1+9+3,32+24+3,0.8,3,4;1+9+3,30+25+8,0.8,3,4;1+9+3,35+25+12,0.8,4,5;1+9+3,40+28+15,0.7,4,5;1+9+3,45+30+20,0.7,4,5;1+9+3,50+35+22,0.6,4,6;1+9+3,53+38+28,0.5,5,6;1+9+3,58+40+33,0.5,5,6;</t>
  </si>
  <si>
    <t>5,12,6</t>
  </si>
  <si>
    <t>5,4,1.5,1,1;5,6,1.2,1,1;5,8,1.2,1,1;5,10,1.1,1,2;5,12,1.1,1,2;5+12,14,1,1,2;5+12,15+8,1,2,3;5+12,17+9,1,3,4;5+12,20+10,0.9,3,4;5+12,22+12,0.9,3,4;5+12,27+20,0.9,3,4;5+12,30+23,0.9,3,4;5+12+6,32+24+3,0.8,3,4;5+12+6,30+25+8,0.8,3,4;5+12+6,35+25+12,0.8,4,5;5+12+6,40+28+15,0.7,4,5;5+12+6,45+30+20,0.7,4,5;5+12+6,50+35+22,0.6,4,6;5+12+6,53+38+28,0.5,5,6;5+12+6,58+40+33,0.5,5,6;</t>
  </si>
  <si>
    <t>7,15,8</t>
  </si>
  <si>
    <t>7,4,1.5,1,1;7,6,1.2,1,1;7,8,1.2,1,1;7,10,1.1,1,2;7,12,1.1,1,2;7+15,14,1,1,2;7+15,15+8,1,2,3;7+15,17+9,1,3,4;7+15,20+10,0.9,3,4;7+15,22+12,0.9,3,4;7+15,27+20,0.9,3,4;7+15,30+23,0.9,3,4;7+15+8,32+24+3,0.8,3,4;7+15+8,30+25+8,0.8,3,4;7+15+8,35+25+12,0.8,4,5;7+15+8,40+28+15,0.7,4,5;7+15+8,45+30+20,0.7,4,5;7+15+8,50+35+22,0.6,4,6;7+15+8,53+38+28,0.5,5,6;7+15+8,58+40+33,0.5,5,6;</t>
  </si>
  <si>
    <t>13,20,10</t>
  </si>
  <si>
    <t>13,4,1.5,1,1;13,6,1.2,1,1;13,8,1.2,1,1;13,10,1.1,1,2;13,12,1.1,1,2;13+20,14,1,1,2;13+20,15+8,1,2,3;13+20,17+9,1,3,4;13+20,20+10,0.9,3,4;13+20,22+12,0.9,3,4;13+20,27+20,0.9,3,4;13+20,30+23,0.9,3,4;13+20+10,32+24+3,0.8,3,4;13+20+10,30+25+8,0.8,3,4;13+20+10,35+25+12,0.8,4,5;13+20+10,40+28+15,0.7,4,5;13+20+10,45+30+20,0.7,4,5;13+20+10,50+35+22,0.6,4,6;13+20+10,53+38+28,0.5,5,6;13+20+10,58+40+33,0.5,5,6;</t>
  </si>
  <si>
    <t>16,21,11</t>
  </si>
  <si>
    <t>16,4,1.5,1,1;16,6,1.2,1,1;16,8,1.2,1,1;16,10,1.1,1,2;16,12,1.1,1,2;16+21,14,1,1,2;16+21,15+8,1,2,3;16+21,17+9,1,3,4;16+21,20+10,0.9,3,4;16+21,22+12,0.9,3,4;16+21,27+20,0.9,3,4;16+21,30+23,0.9,3,4;16+21+11,32+24+3,0.8,3,4;16+21+11,30+25+8,0.8,3,4;16+21+11,35+25+12,0.8,4,5;16+21+11,40+28+15,0.7,4,5;16+21+11,45+30+20,0.7,4,5;16+21+11,50+35+22,0.6,4,6;16+21+11,53+38+28,0.5,5,6;16+21+11,58+40+33,0.5,5,6;</t>
  </si>
  <si>
    <t>16,22,23</t>
  </si>
  <si>
    <t>16,4,1.5,1,1;16,6,1.2,1,1;16,8,1.2,1,1;16,10,1.1,1,2;16,12,1.1,1,2;16+22,14,1,1,2;16+22,15+8,1,2,3;16+22,17+9,1,3,4;16+22,20+10,0.9,3,4;16+22,22+12,0.9,3,4;16+22,27+20,0.9,3,4;16+22,30+23,0.9,3,4;16+22+23,32+24+3,0.8,3,4;16+22+23,30+25+8,0.8,3,4;16+22+23,35+25+12,0.8,4,5;16+22+23,40+28+15,0.7,4,5;16+22+23,45+30+20,0.7,4,5;16+22+23,50+35+22,0.6,4,6;16+22+23,53+38+28,0.5,5,6;16+22+23,58+40+33,0.5,5,6;</t>
  </si>
  <si>
    <t>17,24,26</t>
  </si>
  <si>
    <t>17,4,1.5,1,1;17,6,1.2,1,1;17,8,1.2,1,1;17,10,1.1,1,2;17,12,1.1,1,2;17+24,14,1,1,2;17+24,15+8,1,2,3;17+24,17+9,1,3,4;17+24,20+10,0.9,3,4;17+24,22+12,0.9,3,4;17+24,27+20,0.9,3,4;17+24,30+23,0.9,3,4;17+24+26,32+24+3,0.8,3,4;17+24+26,30+25+8,0.8,3,4;17+24+26,35+25+12,0.8,4,5;17+24+26,40+28+15,0.7,4,5;17+24+26,45+30+20,0.7,4,5;17+24+26,50+35+22,0.6,4,6;17+24+26,53+38+28,0.5,5,6;17+24+26,58+40+33,0.5,5,6;</t>
  </si>
  <si>
    <t>18,25,28</t>
  </si>
  <si>
    <t>18,4,1.5,1,1;18,6,1.2,1,1;18,8,1.2,1,1;18,10,1.1,1,2;18,12,1.1,1,2;18+25,14,1,1,2;18+25,15+8,1,2,3;18+25,17+9,1,3,4;18+25,20+10,0.9,3,4;18+25,22+12,0.9,3,4;18+25,27+20,0.9,3,4;18+25,30+23,0.9,3,4;18+25+28,32+24+3,0.8,3,4;18+25+28,30+25+8,0.8,3,4;18+25+28,35+25+12,0.8,4,5;18+25+28,40+28+15,0.7,4,5;18+25+28,45+30+20,0.7,4,5;18+25+28,50+35+22,0.6,4,6;18+25+28,53+38+28,0.5,5,6;18+25+28,58+40+33,0.5,5,6;</t>
  </si>
  <si>
    <t>19,27,26</t>
  </si>
  <si>
    <t>19,4,1.5,1,1;19,6,1.2,1,1;19,8,1.2,1,1;19,10,1.1,1,2;19,12,1.1,1,2;19+27,14,1,1,2;19+27,15+8,1,2,3;19+27,17+9,1,3,4;19+27,20+10,0.9,3,4;19+27,22+12,0.9,3,4;19+27,27+20,0.9,3,4;19+27,30+23,0.9,3,4;19+27+26,32+24+3,0.8,3,4;19+27+26,30+25+8,0.8,3,4;19+27+26,35+25+12,0.8,4,5;19+27+26,40+28+15,0.7,4,5;19+27+26,45+30+20,0.7,4,5;19+27+26,50+35+22,0.6,4,6;19+27+26,53+38+28,0.5,5,6;19+27+26,58+40+33,0.5,5,6;</t>
  </si>
  <si>
    <t>16,20,11</t>
  </si>
  <si>
    <t>16,4,1.5,1,1;16,6,1.2,1,1;16,8,1.2,1,1;16,10,1.1,1,2;16,12,1.1,1,2;16+20,14,1,1,2;16+20,15+8,1,2,3;16+20,17+9,1,3,4;16+20,20+10,0.9,3,4;16+20,22+12,0.9,3,4;16+20,27+20,0.9,3,4;16+20,30+23,0.9,3,4;16+20+11,32+24+3,0.8,3,4;16+20+11,30+25+8,0.8,3,4;16+20+11,35+25+12,0.8,4,5;16+20+11,40+28+15,0.7,4,5;16+20+11,45+30+20,0.7,4,5;16+20+11,50+35+22,0.6,4,6;16+20+11,53+38+28,0.5,5,6;16+20+11,58+40+33,0.5,5,6;</t>
  </si>
  <si>
    <t>19,25,26</t>
  </si>
  <si>
    <t>19,4,1.5,1,1;19,6,1.2,1,1;19,8,1.2,1,1;19,10,1.1,1,2;19,12,1.1,1,2;19+25,14,1,1,2;19+25,15+8,1,2,3;19+25,17+9,1,3,4;19+25,20+10,0.9,3,4;19+25,22+12,0.9,3,4;19+25,27+20,0.9,3,4;19+25,30+23,0.9,3,4;19+25+26,32+24+3,0.8,3,4;19+25+26,30+25+8,0.8,3,4;19+25+26,35+25+12,0.8,4,5;19+25+26,40+28+15,0.7,4,5;19+25+26,45+30+20,0.7,4,5;19+25+26,50+35+22,0.6,4,6;19+25+26,53+38+28,0.5,5,6;19+25+26,58+40+33,0.5,5,6;</t>
  </si>
  <si>
    <t>19,25,28</t>
  </si>
  <si>
    <t>19,4,1.5,1,1;19,6,1.2,1,1;19,8,1.2,1,1;19,10,1.1,1,2;19,12,1.1,1,2;19+25,14,1,1,2;19+25,15+8,1,2,3;19+25,17+9,1,3,4;19+25,20+10,0.9,3,4;19+25,22+12,0.9,3,4;19+25,27+20,0.9,3,4;19+25,30+23,0.9,3,4;19+25+28,32+24+3,0.8,3,4;19+25+28,30+25+8,0.8,3,4;19+25+28,35+25+12,0.8,4,5;19+25+28,40+28+15,0.7,4,5;19+25+28,45+30+20,0.7,4,5;19+25+28,50+35+22,0.6,4,6;19+25+28,53+38+28,0.5,5,6;19+25+28,58+40+33,0.5,5,6;</t>
  </si>
  <si>
    <t>怪物波次生成器</t>
  </si>
  <si>
    <t>,</t>
  </si>
  <si>
    <t>;</t>
  </si>
  <si>
    <t>所属关卡</t>
  </si>
  <si>
    <t>波次</t>
  </si>
  <si>
    <t>怪物1</t>
  </si>
  <si>
    <t>怪物2</t>
  </si>
  <si>
    <t>怪物3</t>
  </si>
  <si>
    <t>怪物组id</t>
  </si>
  <si>
    <t>怪物1数量</t>
  </si>
  <si>
    <t>怪物2数量</t>
  </si>
  <si>
    <t>怪物3数量</t>
  </si>
  <si>
    <t>怪物总数量</t>
  </si>
  <si>
    <t>怪物数量配置</t>
  </si>
  <si>
    <t>出怪间隔</t>
  </si>
  <si>
    <t>波次时间</t>
  </si>
  <si>
    <t>单次最小出怪数量</t>
  </si>
  <si>
    <t>单次最大出怪数量</t>
  </si>
  <si>
    <t>数组组合</t>
  </si>
  <si>
    <t>总计</t>
  </si>
  <si>
    <t>合并汇总</t>
  </si>
  <si>
    <t>bossid</t>
  </si>
  <si>
    <t>怪物波次模型(怪物组id,出怪数量，出怪间隔，单次最小出怪数量，单次最大出怪数量）</t>
  </si>
  <si>
    <t>101,4,1.5,1,1;101,6,1.2,1,1;101,8,1.2,1,1;101,10,1.1,1,2;101,12,1.1,1,2;101+102,14,1,1,2;101+102,15+8,1,2,3;101+102,17+9,1,3,4;101+102,20+10,0.9,3,4;101+102,22+12,0.9,3,4;101+102,27+20,0.9,3,4;101+102,30+23,0.9,3,4;101+102+103,32+24+3,0.8,3,4;101+102+103,30+25+8,0.8,3,4;101+102+103,35+25+12,0.8,4,5;101+102+103,40+28+15,0.7,4,5;101+102+103,45+30+20,0.7,4,5;101+102+103,50+35+22,0.6,4,6;101+102+103,53+38+28,0.5,5,6;101+102+103,58+40+33,0.5,5,6;</t>
  </si>
  <si>
    <t>波次加成生成器</t>
  </si>
  <si>
    <t>攻击加成百分比</t>
  </si>
  <si>
    <t>血量加成百分比</t>
  </si>
  <si>
    <t>汇总</t>
  </si>
  <si>
    <t>怪物id</t>
  </si>
  <si>
    <t>攻击方式（近战=0，远程=1）</t>
  </si>
  <si>
    <t>关卡内兵种次序</t>
  </si>
  <si>
    <t>关卡数</t>
  </si>
  <si>
    <t>怪物id1</t>
  </si>
  <si>
    <t>怪物id2</t>
  </si>
  <si>
    <t>怪物id3</t>
  </si>
  <si>
    <t>攻击方式1</t>
  </si>
  <si>
    <t>攻击方式2</t>
  </si>
  <si>
    <t>攻击方式3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</si>
</sst>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 "/>
    <numFmt numFmtId="178" formatCode="0_ "/>
  </numFmts>
  <fonts count="24">
    <font>
      <sz val="11"/>
      <color theme="1"/>
      <name val="宋体"/>
      <charset val="134"/>
      <scheme val="minor"/>
    </font>
    <font>
      <sz val="12"/>
      <color rgb="FF000000"/>
      <name val="等线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>
      <alignment vertical="center"/>
    </xf>
    <xf numFmtId="44" fontId="0" fillId="0" borderId="0" applyFont="0" applyFill="0" applyBorder="0" applyAlignment="0">
      <alignment vertical="center"/>
    </xf>
    <xf numFmtId="9" fontId="0" fillId="0" borderId="0" applyFont="0" applyFill="0" applyBorder="0" applyAlignment="0">
      <alignment vertical="center"/>
    </xf>
    <xf numFmtId="41" fontId="0" fillId="0" borderId="0" applyFont="0" applyFill="0" applyBorder="0" applyAlignment="0">
      <alignment vertical="center"/>
    </xf>
    <xf numFmtId="42" fontId="0" fillId="0" borderId="0" applyFont="0" applyFill="0" applyBorder="0" applyAlignment="0">
      <alignment vertical="center"/>
    </xf>
    <xf numFmtId="0" fontId="5" fillId="0" borderId="0" applyNumberFormat="0" applyFill="0" applyBorder="0" applyAlignment="0">
      <alignment vertical="center"/>
    </xf>
    <xf numFmtId="0" fontId="6" fillId="0" borderId="0" applyNumberFormat="0" applyFill="0" applyBorder="0" applyAlignment="0">
      <alignment vertical="center"/>
    </xf>
    <xf numFmtId="0" fontId="0" fillId="3" borderId="4" applyNumberFormat="0" applyFont="0" applyAlignment="0">
      <alignment vertical="center"/>
    </xf>
    <xf numFmtId="0" fontId="7" fillId="0" borderId="0" applyNumberFormat="0" applyFill="0" applyBorder="0" applyAlignment="0">
      <alignment vertical="center"/>
    </xf>
    <xf numFmtId="0" fontId="8" fillId="0" borderId="0" applyNumberFormat="0" applyFill="0" applyBorder="0" applyAlignment="0">
      <alignment vertical="center"/>
    </xf>
    <xf numFmtId="0" fontId="9" fillId="0" borderId="0" applyNumberFormat="0" applyFill="0" applyBorder="0" applyAlignment="0">
      <alignment vertical="center"/>
    </xf>
    <xf numFmtId="0" fontId="10" fillId="0" borderId="5" applyNumberFormat="0" applyFill="0" applyAlignment="0">
      <alignment vertical="center"/>
    </xf>
    <xf numFmtId="0" fontId="11" fillId="0" borderId="5" applyNumberFormat="0" applyFill="0" applyAlignment="0">
      <alignment vertical="center"/>
    </xf>
    <xf numFmtId="0" fontId="12" fillId="0" borderId="6" applyNumberFormat="0" applyFill="0" applyAlignment="0">
      <alignment vertical="center"/>
    </xf>
    <xf numFmtId="0" fontId="12" fillId="0" borderId="0" applyNumberFormat="0" applyFill="0" applyBorder="0" applyAlignment="0">
      <alignment vertical="center"/>
    </xf>
    <xf numFmtId="0" fontId="13" fillId="4" borderId="7" applyNumberFormat="0" applyAlignment="0">
      <alignment vertical="center"/>
    </xf>
    <xf numFmtId="0" fontId="14" fillId="5" borderId="8" applyNumberFormat="0" applyAlignment="0">
      <alignment vertical="center"/>
    </xf>
    <xf numFmtId="0" fontId="15" fillId="5" borderId="7" applyNumberFormat="0" applyAlignment="0">
      <alignment vertical="center"/>
    </xf>
    <xf numFmtId="0" fontId="16" fillId="6" borderId="9" applyNumberFormat="0" applyAlignment="0">
      <alignment vertical="center"/>
    </xf>
    <xf numFmtId="0" fontId="17" fillId="0" borderId="10" applyNumberFormat="0" applyFill="0" applyAlignment="0">
      <alignment vertical="center"/>
    </xf>
    <xf numFmtId="0" fontId="18" fillId="0" borderId="11" applyNumberFormat="0" applyFill="0" applyAlignment="0">
      <alignment vertical="center"/>
    </xf>
    <xf numFmtId="0" fontId="19" fillId="7" borderId="0" applyNumberFormat="0" applyBorder="0" applyAlignment="0">
      <alignment vertical="center"/>
    </xf>
    <xf numFmtId="0" fontId="20" fillId="8" borderId="0" applyNumberFormat="0" applyBorder="0" applyAlignment="0">
      <alignment vertical="center"/>
    </xf>
    <xf numFmtId="0" fontId="21" fillId="9" borderId="0" applyNumberFormat="0" applyBorder="0" applyAlignment="0">
      <alignment vertical="center"/>
    </xf>
    <xf numFmtId="0" fontId="22" fillId="10" borderId="0" applyNumberFormat="0" applyBorder="0" applyAlignment="0">
      <alignment vertical="center"/>
    </xf>
    <xf numFmtId="0" fontId="23" fillId="11" borderId="0" applyNumberFormat="0" applyBorder="0" applyAlignment="0">
      <alignment vertical="center"/>
    </xf>
    <xf numFmtId="0" fontId="23" fillId="12" borderId="0" applyNumberFormat="0" applyBorder="0" applyAlignment="0">
      <alignment vertical="center"/>
    </xf>
    <xf numFmtId="0" fontId="22" fillId="13" borderId="0" applyNumberFormat="0" applyBorder="0" applyAlignment="0">
      <alignment vertical="center"/>
    </xf>
    <xf numFmtId="0" fontId="22" fillId="14" borderId="0" applyNumberFormat="0" applyBorder="0" applyAlignment="0">
      <alignment vertical="center"/>
    </xf>
    <xf numFmtId="0" fontId="23" fillId="15" borderId="0" applyNumberFormat="0" applyBorder="0" applyAlignment="0">
      <alignment vertical="center"/>
    </xf>
    <xf numFmtId="0" fontId="23" fillId="16" borderId="0" applyNumberFormat="0" applyBorder="0" applyAlignment="0">
      <alignment vertical="center"/>
    </xf>
    <xf numFmtId="0" fontId="22" fillId="17" borderId="0" applyNumberFormat="0" applyBorder="0" applyAlignment="0">
      <alignment vertical="center"/>
    </xf>
    <xf numFmtId="0" fontId="22" fillId="18" borderId="0" applyNumberFormat="0" applyBorder="0" applyAlignment="0">
      <alignment vertical="center"/>
    </xf>
    <xf numFmtId="0" fontId="23" fillId="19" borderId="0" applyNumberFormat="0" applyBorder="0" applyAlignment="0">
      <alignment vertical="center"/>
    </xf>
    <xf numFmtId="0" fontId="23" fillId="20" borderId="0" applyNumberFormat="0" applyBorder="0" applyAlignment="0">
      <alignment vertical="center"/>
    </xf>
    <xf numFmtId="0" fontId="22" fillId="21" borderId="0" applyNumberFormat="0" applyBorder="0" applyAlignment="0">
      <alignment vertical="center"/>
    </xf>
    <xf numFmtId="0" fontId="22" fillId="22" borderId="0" applyNumberFormat="0" applyBorder="0" applyAlignment="0">
      <alignment vertical="center"/>
    </xf>
    <xf numFmtId="0" fontId="23" fillId="23" borderId="0" applyNumberFormat="0" applyBorder="0" applyAlignment="0">
      <alignment vertical="center"/>
    </xf>
    <xf numFmtId="0" fontId="23" fillId="24" borderId="0" applyNumberFormat="0" applyBorder="0" applyAlignment="0">
      <alignment vertical="center"/>
    </xf>
    <xf numFmtId="0" fontId="22" fillId="25" borderId="0" applyNumberFormat="0" applyBorder="0" applyAlignment="0">
      <alignment vertical="center"/>
    </xf>
    <xf numFmtId="0" fontId="22" fillId="26" borderId="0" applyNumberFormat="0" applyBorder="0" applyAlignment="0">
      <alignment vertical="center"/>
    </xf>
    <xf numFmtId="0" fontId="23" fillId="27" borderId="0" applyNumberFormat="0" applyBorder="0" applyAlignment="0">
      <alignment vertical="center"/>
    </xf>
    <xf numFmtId="0" fontId="23" fillId="28" borderId="0" applyNumberFormat="0" applyBorder="0" applyAlignment="0">
      <alignment vertical="center"/>
    </xf>
    <xf numFmtId="0" fontId="22" fillId="29" borderId="0" applyNumberFormat="0" applyBorder="0" applyAlignment="0">
      <alignment vertical="center"/>
    </xf>
    <xf numFmtId="0" fontId="22" fillId="30" borderId="0" applyNumberFormat="0" applyBorder="0" applyAlignment="0">
      <alignment vertical="center"/>
    </xf>
    <xf numFmtId="0" fontId="23" fillId="31" borderId="0" applyNumberFormat="0" applyBorder="0" applyAlignment="0">
      <alignment vertical="center"/>
    </xf>
    <xf numFmtId="0" fontId="23" fillId="32" borderId="0" applyNumberFormat="0" applyBorder="0" applyAlignment="0">
      <alignment vertical="center"/>
    </xf>
    <xf numFmtId="0" fontId="22" fillId="33" borderId="0" applyNumberFormat="0" applyBorder="0" applyAlignment="0">
      <alignment vertical="center"/>
    </xf>
  </cellStyleXfs>
  <cellXfs count="15">
    <xf numFmtId="0" fontId="0" fillId="0" borderId="0" xfId="0" applyFill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Fill="1">
      <alignment vertical="center"/>
    </xf>
    <xf numFmtId="176" fontId="0" fillId="0" borderId="0" xfId="0" applyNumberFormat="1" applyFill="1">
      <alignment vertical="center"/>
    </xf>
    <xf numFmtId="177" fontId="0" fillId="0" borderId="0" xfId="0" applyNumberFormat="1" applyFill="1">
      <alignment vertical="center"/>
    </xf>
    <xf numFmtId="178" fontId="0" fillId="0" borderId="0" xfId="0" applyNumberFormat="1" applyFill="1">
      <alignment vertical="center"/>
    </xf>
    <xf numFmtId="0" fontId="0" fillId="0" borderId="0" xfId="0" applyFont="1" applyFill="1">
      <alignment vertical="center"/>
    </xf>
    <xf numFmtId="0" fontId="0" fillId="0" borderId="0" xfId="0">
      <alignment vertical="center"/>
    </xf>
    <xf numFmtId="0" fontId="3" fillId="0" borderId="3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3"/>
  <sheetViews>
    <sheetView tabSelected="1" workbookViewId="0">
      <selection activeCell="E5" sqref="E5"/>
    </sheetView>
  </sheetViews>
  <sheetFormatPr defaultColWidth="9" defaultRowHeight="13.5"/>
  <cols>
    <col min="2" max="2" width="12.9" customWidth="1"/>
    <col min="3" max="3" width="23.5" style="10" customWidth="1"/>
    <col min="4" max="4" width="23" customWidth="1"/>
    <col min="5" max="5" width="23.625" customWidth="1"/>
    <col min="6" max="6" width="72" customWidth="1"/>
    <col min="7" max="7" width="15.1833333333333" customWidth="1"/>
    <col min="8" max="8" width="14" customWidth="1"/>
    <col min="9" max="9" width="27.5416666666667" customWidth="1"/>
    <col min="10" max="10" width="60.4" customWidth="1"/>
  </cols>
  <sheetData>
    <row r="1" spans="1:10">
      <c r="A1" t="s">
        <v>0</v>
      </c>
      <c r="B1" t="s">
        <v>1</v>
      </c>
      <c r="C1" s="10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0" t="s">
        <v>11</v>
      </c>
      <c r="D2" t="s">
        <v>10</v>
      </c>
      <c r="E2" t="s">
        <v>10</v>
      </c>
      <c r="F2" t="s">
        <v>11</v>
      </c>
      <c r="G2" t="s">
        <v>11</v>
      </c>
      <c r="H2" t="s">
        <v>11</v>
      </c>
      <c r="I2" t="s">
        <v>10</v>
      </c>
      <c r="J2" t="s">
        <v>11</v>
      </c>
    </row>
    <row r="3" spans="1:10">
      <c r="A3" t="s">
        <v>12</v>
      </c>
      <c r="B3" t="s">
        <v>13</v>
      </c>
      <c r="C3" s="10" t="s">
        <v>14</v>
      </c>
      <c r="D3" t="s">
        <v>15</v>
      </c>
      <c r="E3" t="s">
        <v>16</v>
      </c>
      <c r="F3" s="6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>
      <c r="A4">
        <v>1</v>
      </c>
      <c r="B4" t="s">
        <v>22</v>
      </c>
      <c r="C4" s="11"/>
      <c r="D4" s="12">
        <v>0</v>
      </c>
      <c r="E4" s="12">
        <v>0</v>
      </c>
      <c r="F4" t="s">
        <v>23</v>
      </c>
      <c r="G4" t="s">
        <v>24</v>
      </c>
      <c r="H4" t="s">
        <v>25</v>
      </c>
      <c r="I4">
        <v>3</v>
      </c>
    </row>
    <row r="5" spans="1:10">
      <c r="A5">
        <v>2</v>
      </c>
      <c r="B5" t="s">
        <v>26</v>
      </c>
      <c r="C5" s="11">
        <v>1</v>
      </c>
      <c r="D5" s="13">
        <v>0</v>
      </c>
      <c r="E5" s="12">
        <v>5</v>
      </c>
      <c r="F5" t="s">
        <v>27</v>
      </c>
      <c r="G5" t="s">
        <v>24</v>
      </c>
      <c r="H5" t="s">
        <v>28</v>
      </c>
      <c r="I5">
        <v>3</v>
      </c>
      <c r="J5" t="s">
        <v>29</v>
      </c>
    </row>
    <row r="6" spans="1:10">
      <c r="A6">
        <v>3</v>
      </c>
      <c r="B6" t="s">
        <v>30</v>
      </c>
      <c r="C6" s="11" t="s">
        <v>31</v>
      </c>
      <c r="D6" s="13">
        <v>2</v>
      </c>
      <c r="E6" s="12">
        <v>16</v>
      </c>
      <c r="F6" t="s">
        <v>32</v>
      </c>
      <c r="G6" t="s">
        <v>24</v>
      </c>
      <c r="H6" t="s">
        <v>33</v>
      </c>
      <c r="I6">
        <v>3</v>
      </c>
      <c r="J6" t="s">
        <v>34</v>
      </c>
    </row>
    <row r="7" spans="1:10">
      <c r="A7">
        <v>4</v>
      </c>
      <c r="B7" t="s">
        <v>35</v>
      </c>
      <c r="C7" s="11" t="s">
        <v>31</v>
      </c>
      <c r="D7" s="13">
        <v>3</v>
      </c>
      <c r="E7" s="12">
        <v>24</v>
      </c>
      <c r="F7" t="s">
        <v>36</v>
      </c>
      <c r="G7" t="s">
        <v>24</v>
      </c>
      <c r="H7" t="s">
        <v>33</v>
      </c>
      <c r="I7">
        <v>3</v>
      </c>
      <c r="J7" t="s">
        <v>37</v>
      </c>
    </row>
    <row r="8" spans="1:10">
      <c r="A8">
        <v>5</v>
      </c>
      <c r="B8" t="s">
        <v>38</v>
      </c>
      <c r="C8" s="11" t="s">
        <v>31</v>
      </c>
      <c r="D8" s="13">
        <v>4</v>
      </c>
      <c r="E8" s="12">
        <v>32</v>
      </c>
      <c r="F8" t="s">
        <v>39</v>
      </c>
      <c r="G8" t="s">
        <v>24</v>
      </c>
      <c r="H8" t="s">
        <v>33</v>
      </c>
      <c r="I8">
        <v>3</v>
      </c>
      <c r="J8" t="s">
        <v>40</v>
      </c>
    </row>
    <row r="9" spans="1:10">
      <c r="A9">
        <v>6</v>
      </c>
      <c r="B9" t="s">
        <v>41</v>
      </c>
      <c r="C9" s="11" t="s">
        <v>31</v>
      </c>
      <c r="D9" s="13">
        <v>5</v>
      </c>
      <c r="E9" s="12">
        <v>41</v>
      </c>
      <c r="F9" t="s">
        <v>42</v>
      </c>
      <c r="G9" t="s">
        <v>24</v>
      </c>
      <c r="H9" t="s">
        <v>33</v>
      </c>
      <c r="I9">
        <v>3</v>
      </c>
      <c r="J9" t="s">
        <v>43</v>
      </c>
    </row>
    <row r="10" spans="1:10">
      <c r="A10">
        <v>7</v>
      </c>
      <c r="B10" t="s">
        <v>44</v>
      </c>
      <c r="C10" s="11" t="s">
        <v>31</v>
      </c>
      <c r="D10" s="13">
        <v>6</v>
      </c>
      <c r="E10" s="12">
        <v>51</v>
      </c>
      <c r="F10" t="s">
        <v>45</v>
      </c>
      <c r="G10" t="s">
        <v>24</v>
      </c>
      <c r="H10" t="s">
        <v>33</v>
      </c>
      <c r="I10">
        <v>3</v>
      </c>
      <c r="J10" t="s">
        <v>46</v>
      </c>
    </row>
    <row r="11" spans="1:10">
      <c r="A11">
        <v>8</v>
      </c>
      <c r="B11" t="s">
        <v>47</v>
      </c>
      <c r="C11" s="11" t="s">
        <v>31</v>
      </c>
      <c r="D11" s="13">
        <v>7</v>
      </c>
      <c r="E11" s="12">
        <v>63</v>
      </c>
      <c r="F11" t="s">
        <v>48</v>
      </c>
      <c r="G11" t="s">
        <v>24</v>
      </c>
      <c r="H11" t="s">
        <v>33</v>
      </c>
      <c r="I11">
        <v>3</v>
      </c>
      <c r="J11" t="s">
        <v>29</v>
      </c>
    </row>
    <row r="12" spans="1:10">
      <c r="A12">
        <v>9</v>
      </c>
      <c r="B12" t="s">
        <v>49</v>
      </c>
      <c r="C12" s="11" t="s">
        <v>31</v>
      </c>
      <c r="D12" s="13">
        <v>8</v>
      </c>
      <c r="E12" s="12">
        <v>75</v>
      </c>
      <c r="F12" t="s">
        <v>50</v>
      </c>
      <c r="G12" t="s">
        <v>24</v>
      </c>
      <c r="H12" t="s">
        <v>33</v>
      </c>
      <c r="I12">
        <v>3</v>
      </c>
      <c r="J12" t="s">
        <v>34</v>
      </c>
    </row>
    <row r="13" spans="1:10">
      <c r="A13">
        <v>10</v>
      </c>
      <c r="B13" t="s">
        <v>51</v>
      </c>
      <c r="C13" s="11" t="s">
        <v>31</v>
      </c>
      <c r="D13" s="13">
        <v>9</v>
      </c>
      <c r="E13" s="14">
        <v>87</v>
      </c>
      <c r="F13" t="s">
        <v>52</v>
      </c>
      <c r="G13" t="s">
        <v>24</v>
      </c>
      <c r="H13" t="s">
        <v>53</v>
      </c>
      <c r="I13">
        <v>3</v>
      </c>
      <c r="J13" t="s">
        <v>37</v>
      </c>
    </row>
    <row r="14" spans="1:10">
      <c r="A14">
        <v>11</v>
      </c>
      <c r="B14" t="s">
        <v>54</v>
      </c>
      <c r="C14" s="11" t="s">
        <v>31</v>
      </c>
      <c r="D14" s="13">
        <v>10</v>
      </c>
      <c r="E14" s="14">
        <v>100</v>
      </c>
      <c r="F14" t="s">
        <v>55</v>
      </c>
      <c r="G14" t="s">
        <v>24</v>
      </c>
      <c r="H14" t="s">
        <v>53</v>
      </c>
      <c r="I14">
        <v>3</v>
      </c>
      <c r="J14" t="s">
        <v>40</v>
      </c>
    </row>
    <row r="15" spans="1:10">
      <c r="A15">
        <v>12</v>
      </c>
      <c r="B15" t="s">
        <v>56</v>
      </c>
      <c r="C15" s="11" t="s">
        <v>31</v>
      </c>
      <c r="D15" s="13">
        <v>11</v>
      </c>
      <c r="E15" s="14">
        <v>113</v>
      </c>
      <c r="F15" t="s">
        <v>57</v>
      </c>
      <c r="G15" t="s">
        <v>24</v>
      </c>
      <c r="H15" t="s">
        <v>53</v>
      </c>
      <c r="I15">
        <v>3</v>
      </c>
      <c r="J15" t="s">
        <v>43</v>
      </c>
    </row>
    <row r="16" spans="1:10">
      <c r="A16">
        <v>13</v>
      </c>
      <c r="B16" t="s">
        <v>58</v>
      </c>
      <c r="C16" s="11" t="s">
        <v>31</v>
      </c>
      <c r="D16" s="13">
        <v>12</v>
      </c>
      <c r="E16" s="14">
        <v>126</v>
      </c>
      <c r="F16" t="s">
        <v>59</v>
      </c>
      <c r="G16" t="s">
        <v>24</v>
      </c>
      <c r="H16" t="s">
        <v>53</v>
      </c>
      <c r="I16">
        <v>3</v>
      </c>
      <c r="J16" t="s">
        <v>46</v>
      </c>
    </row>
    <row r="17" spans="1:10">
      <c r="A17">
        <v>14</v>
      </c>
      <c r="B17" t="s">
        <v>60</v>
      </c>
      <c r="C17" s="11" t="s">
        <v>31</v>
      </c>
      <c r="D17" s="13">
        <v>13</v>
      </c>
      <c r="E17" s="14">
        <v>139</v>
      </c>
      <c r="F17" t="s">
        <v>61</v>
      </c>
      <c r="G17" t="s">
        <v>24</v>
      </c>
      <c r="H17" t="s">
        <v>53</v>
      </c>
      <c r="I17">
        <v>3</v>
      </c>
      <c r="J17" t="s">
        <v>29</v>
      </c>
    </row>
    <row r="18" spans="1:10">
      <c r="A18">
        <v>15</v>
      </c>
      <c r="B18" t="s">
        <v>62</v>
      </c>
      <c r="C18" s="11" t="s">
        <v>31</v>
      </c>
      <c r="D18" s="13">
        <v>14</v>
      </c>
      <c r="E18" s="14">
        <v>153</v>
      </c>
      <c r="F18" t="s">
        <v>63</v>
      </c>
      <c r="G18" t="s">
        <v>24</v>
      </c>
      <c r="H18" t="s">
        <v>53</v>
      </c>
      <c r="I18">
        <v>3</v>
      </c>
      <c r="J18" t="s">
        <v>34</v>
      </c>
    </row>
    <row r="19" spans="1:10">
      <c r="A19">
        <v>16</v>
      </c>
      <c r="B19" t="s">
        <v>64</v>
      </c>
      <c r="C19" s="11" t="s">
        <v>31</v>
      </c>
      <c r="D19" s="13">
        <v>15</v>
      </c>
      <c r="E19" s="14">
        <v>167</v>
      </c>
      <c r="F19" t="s">
        <v>65</v>
      </c>
      <c r="G19" t="s">
        <v>24</v>
      </c>
      <c r="H19" t="s">
        <v>53</v>
      </c>
      <c r="I19">
        <v>3</v>
      </c>
      <c r="J19" t="s">
        <v>37</v>
      </c>
    </row>
    <row r="20" spans="1:10">
      <c r="A20">
        <v>17</v>
      </c>
      <c r="B20" t="s">
        <v>66</v>
      </c>
      <c r="C20" s="11" t="s">
        <v>31</v>
      </c>
      <c r="D20" s="13">
        <v>16</v>
      </c>
      <c r="E20" s="14">
        <v>181</v>
      </c>
      <c r="F20" t="s">
        <v>67</v>
      </c>
      <c r="G20" t="s">
        <v>24</v>
      </c>
      <c r="H20" t="s">
        <v>53</v>
      </c>
      <c r="I20">
        <v>3</v>
      </c>
      <c r="J20" t="s">
        <v>40</v>
      </c>
    </row>
    <row r="21" spans="1:10">
      <c r="A21">
        <v>18</v>
      </c>
      <c r="B21" t="s">
        <v>68</v>
      </c>
      <c r="C21" s="11" t="s">
        <v>31</v>
      </c>
      <c r="D21" s="13">
        <v>17</v>
      </c>
      <c r="E21" s="14">
        <v>196</v>
      </c>
      <c r="F21" t="s">
        <v>69</v>
      </c>
      <c r="G21" t="s">
        <v>24</v>
      </c>
      <c r="H21" t="s">
        <v>53</v>
      </c>
      <c r="I21">
        <v>3</v>
      </c>
      <c r="J21" t="s">
        <v>43</v>
      </c>
    </row>
    <row r="22" spans="1:10">
      <c r="A22">
        <v>19</v>
      </c>
      <c r="B22" t="s">
        <v>70</v>
      </c>
      <c r="C22" s="11" t="s">
        <v>31</v>
      </c>
      <c r="D22" s="13">
        <v>18</v>
      </c>
      <c r="E22" s="14">
        <v>211</v>
      </c>
      <c r="F22" t="s">
        <v>71</v>
      </c>
      <c r="G22" t="s">
        <v>24</v>
      </c>
      <c r="H22" t="s">
        <v>53</v>
      </c>
      <c r="I22">
        <v>3</v>
      </c>
      <c r="J22" t="s">
        <v>46</v>
      </c>
    </row>
    <row r="23" spans="1:10">
      <c r="A23">
        <v>20</v>
      </c>
      <c r="B23" t="s">
        <v>72</v>
      </c>
      <c r="C23" s="11" t="s">
        <v>31</v>
      </c>
      <c r="D23" s="13">
        <v>19</v>
      </c>
      <c r="E23" s="14">
        <v>226</v>
      </c>
      <c r="F23" t="s">
        <v>73</v>
      </c>
      <c r="G23" t="s">
        <v>24</v>
      </c>
      <c r="H23" t="s">
        <v>53</v>
      </c>
      <c r="I23">
        <v>3</v>
      </c>
      <c r="J23" t="s">
        <v>29</v>
      </c>
    </row>
    <row r="24" spans="1:10">
      <c r="A24">
        <v>21</v>
      </c>
      <c r="B24" t="s">
        <v>74</v>
      </c>
      <c r="C24" s="11" t="s">
        <v>31</v>
      </c>
      <c r="D24" s="13">
        <v>20</v>
      </c>
      <c r="E24" s="14">
        <v>242</v>
      </c>
      <c r="F24" t="s">
        <v>75</v>
      </c>
      <c r="G24" t="s">
        <v>24</v>
      </c>
      <c r="H24" t="s">
        <v>53</v>
      </c>
      <c r="I24">
        <v>3</v>
      </c>
      <c r="J24" t="s">
        <v>34</v>
      </c>
    </row>
    <row r="25" spans="1:10">
      <c r="A25">
        <v>22</v>
      </c>
      <c r="B25" t="s">
        <v>76</v>
      </c>
      <c r="C25" s="11" t="s">
        <v>31</v>
      </c>
      <c r="D25" s="13">
        <v>21</v>
      </c>
      <c r="E25" s="14">
        <v>258</v>
      </c>
      <c r="F25" t="s">
        <v>77</v>
      </c>
      <c r="G25" t="s">
        <v>24</v>
      </c>
      <c r="H25" t="s">
        <v>53</v>
      </c>
      <c r="I25">
        <v>3</v>
      </c>
      <c r="J25" t="s">
        <v>37</v>
      </c>
    </row>
    <row r="26" spans="1:10">
      <c r="A26">
        <v>23</v>
      </c>
      <c r="B26" t="s">
        <v>78</v>
      </c>
      <c r="C26" s="11" t="s">
        <v>31</v>
      </c>
      <c r="D26" s="13">
        <v>22</v>
      </c>
      <c r="E26" s="14">
        <v>274</v>
      </c>
      <c r="F26" t="s">
        <v>79</v>
      </c>
      <c r="G26" t="s">
        <v>24</v>
      </c>
      <c r="H26" t="s">
        <v>53</v>
      </c>
      <c r="I26">
        <v>3</v>
      </c>
      <c r="J26" t="s">
        <v>40</v>
      </c>
    </row>
    <row r="27" spans="1:10">
      <c r="A27">
        <v>24</v>
      </c>
      <c r="B27" t="s">
        <v>80</v>
      </c>
      <c r="C27" s="11" t="s">
        <v>31</v>
      </c>
      <c r="D27" s="13">
        <v>23</v>
      </c>
      <c r="E27" s="14">
        <v>291</v>
      </c>
      <c r="F27" t="s">
        <v>81</v>
      </c>
      <c r="G27" t="s">
        <v>24</v>
      </c>
      <c r="H27" t="s">
        <v>53</v>
      </c>
      <c r="I27">
        <v>3</v>
      </c>
      <c r="J27" t="s">
        <v>43</v>
      </c>
    </row>
    <row r="28" spans="1:10">
      <c r="A28">
        <v>25</v>
      </c>
      <c r="B28" t="s">
        <v>82</v>
      </c>
      <c r="C28" s="11" t="s">
        <v>31</v>
      </c>
      <c r="D28" s="13">
        <v>24</v>
      </c>
      <c r="E28" s="14">
        <v>308</v>
      </c>
      <c r="F28" t="s">
        <v>83</v>
      </c>
      <c r="G28" t="s">
        <v>24</v>
      </c>
      <c r="H28" t="s">
        <v>53</v>
      </c>
      <c r="I28">
        <v>3</v>
      </c>
      <c r="J28" t="s">
        <v>46</v>
      </c>
    </row>
    <row r="29" spans="1:10">
      <c r="A29">
        <v>26</v>
      </c>
      <c r="B29" t="s">
        <v>84</v>
      </c>
      <c r="C29" s="11" t="s">
        <v>31</v>
      </c>
      <c r="D29" s="13">
        <v>25</v>
      </c>
      <c r="E29" s="14">
        <v>325</v>
      </c>
      <c r="F29" t="s">
        <v>85</v>
      </c>
      <c r="G29" t="s">
        <v>24</v>
      </c>
      <c r="H29" t="s">
        <v>53</v>
      </c>
      <c r="I29">
        <v>3</v>
      </c>
      <c r="J29" t="s">
        <v>29</v>
      </c>
    </row>
    <row r="30" spans="1:10">
      <c r="A30">
        <v>27</v>
      </c>
      <c r="B30" t="s">
        <v>86</v>
      </c>
      <c r="C30" s="11" t="s">
        <v>31</v>
      </c>
      <c r="D30" s="13">
        <v>26</v>
      </c>
      <c r="E30" s="14">
        <v>343</v>
      </c>
      <c r="F30" t="s">
        <v>87</v>
      </c>
      <c r="G30" t="s">
        <v>24</v>
      </c>
      <c r="H30" t="s">
        <v>53</v>
      </c>
      <c r="I30">
        <v>3</v>
      </c>
      <c r="J30" t="s">
        <v>34</v>
      </c>
    </row>
    <row r="31" spans="1:10">
      <c r="A31">
        <v>28</v>
      </c>
      <c r="B31" t="s">
        <v>88</v>
      </c>
      <c r="C31" s="11" t="s">
        <v>31</v>
      </c>
      <c r="D31" s="13">
        <v>27</v>
      </c>
      <c r="E31" s="14">
        <v>361</v>
      </c>
      <c r="F31" t="s">
        <v>89</v>
      </c>
      <c r="G31" t="s">
        <v>24</v>
      </c>
      <c r="H31" t="s">
        <v>53</v>
      </c>
      <c r="I31">
        <v>3</v>
      </c>
      <c r="J31" t="s">
        <v>37</v>
      </c>
    </row>
    <row r="32" spans="1:10">
      <c r="A32">
        <v>29</v>
      </c>
      <c r="B32" t="s">
        <v>90</v>
      </c>
      <c r="C32" s="11" t="s">
        <v>31</v>
      </c>
      <c r="D32" s="13">
        <v>28</v>
      </c>
      <c r="E32" s="14">
        <v>380</v>
      </c>
      <c r="F32" t="s">
        <v>91</v>
      </c>
      <c r="G32" t="s">
        <v>24</v>
      </c>
      <c r="H32" t="s">
        <v>53</v>
      </c>
      <c r="I32">
        <v>3</v>
      </c>
      <c r="J32" t="s">
        <v>40</v>
      </c>
    </row>
    <row r="33" spans="1:10">
      <c r="A33">
        <v>30</v>
      </c>
      <c r="B33" t="s">
        <v>92</v>
      </c>
      <c r="C33" s="11" t="s">
        <v>31</v>
      </c>
      <c r="D33" s="13">
        <v>29</v>
      </c>
      <c r="E33" s="14">
        <v>399</v>
      </c>
      <c r="F33" t="s">
        <v>93</v>
      </c>
      <c r="G33" t="s">
        <v>24</v>
      </c>
      <c r="H33" t="s">
        <v>53</v>
      </c>
      <c r="I33">
        <v>3</v>
      </c>
      <c r="J33" t="s">
        <v>43</v>
      </c>
    </row>
    <row r="34" spans="1:10">
      <c r="A34">
        <v>31</v>
      </c>
      <c r="B34" t="s">
        <v>94</v>
      </c>
      <c r="C34" s="11" t="s">
        <v>31</v>
      </c>
      <c r="D34" s="13">
        <v>30</v>
      </c>
      <c r="E34" s="14">
        <v>418</v>
      </c>
      <c r="F34" t="s">
        <v>95</v>
      </c>
      <c r="G34" t="s">
        <v>24</v>
      </c>
      <c r="H34" t="s">
        <v>53</v>
      </c>
      <c r="I34">
        <v>3</v>
      </c>
      <c r="J34" t="s">
        <v>46</v>
      </c>
    </row>
    <row r="35" spans="1:10">
      <c r="A35">
        <v>32</v>
      </c>
      <c r="B35" t="s">
        <v>96</v>
      </c>
      <c r="C35" s="11" t="s">
        <v>31</v>
      </c>
      <c r="D35" s="13">
        <v>31</v>
      </c>
      <c r="E35" s="14">
        <v>438</v>
      </c>
      <c r="F35" t="s">
        <v>97</v>
      </c>
      <c r="G35" t="s">
        <v>24</v>
      </c>
      <c r="H35" t="s">
        <v>53</v>
      </c>
      <c r="I35">
        <v>3</v>
      </c>
      <c r="J35" t="s">
        <v>29</v>
      </c>
    </row>
    <row r="36" spans="1:10">
      <c r="A36">
        <v>33</v>
      </c>
      <c r="B36" t="s">
        <v>98</v>
      </c>
      <c r="C36" s="11" t="s">
        <v>31</v>
      </c>
      <c r="D36" s="13">
        <v>32</v>
      </c>
      <c r="E36" s="14">
        <v>458</v>
      </c>
      <c r="F36" t="s">
        <v>99</v>
      </c>
      <c r="G36" t="s">
        <v>24</v>
      </c>
      <c r="H36" t="s">
        <v>53</v>
      </c>
      <c r="I36">
        <v>3</v>
      </c>
      <c r="J36" t="s">
        <v>34</v>
      </c>
    </row>
    <row r="37" spans="1:10">
      <c r="A37">
        <v>34</v>
      </c>
      <c r="B37" t="s">
        <v>100</v>
      </c>
      <c r="C37" s="11" t="s">
        <v>31</v>
      </c>
      <c r="D37" s="13">
        <v>33</v>
      </c>
      <c r="E37" s="14">
        <v>479</v>
      </c>
      <c r="F37" t="s">
        <v>101</v>
      </c>
      <c r="G37" t="s">
        <v>24</v>
      </c>
      <c r="H37" t="s">
        <v>53</v>
      </c>
      <c r="I37">
        <v>3</v>
      </c>
      <c r="J37" t="s">
        <v>37</v>
      </c>
    </row>
    <row r="38" spans="1:10">
      <c r="A38">
        <v>35</v>
      </c>
      <c r="B38" t="s">
        <v>102</v>
      </c>
      <c r="C38" s="11" t="s">
        <v>31</v>
      </c>
      <c r="D38" s="13">
        <v>34</v>
      </c>
      <c r="E38" s="14">
        <v>500</v>
      </c>
      <c r="F38" t="s">
        <v>103</v>
      </c>
      <c r="G38" t="s">
        <v>24</v>
      </c>
      <c r="H38" t="s">
        <v>53</v>
      </c>
      <c r="I38">
        <v>3</v>
      </c>
      <c r="J38" t="s">
        <v>40</v>
      </c>
    </row>
    <row r="39" spans="1:10">
      <c r="A39">
        <v>36</v>
      </c>
      <c r="B39" t="s">
        <v>104</v>
      </c>
      <c r="C39" s="11" t="s">
        <v>31</v>
      </c>
      <c r="D39" s="13">
        <v>35</v>
      </c>
      <c r="E39" s="14">
        <v>522</v>
      </c>
      <c r="F39" t="s">
        <v>105</v>
      </c>
      <c r="G39" t="s">
        <v>24</v>
      </c>
      <c r="H39" t="s">
        <v>53</v>
      </c>
      <c r="I39">
        <v>3</v>
      </c>
      <c r="J39" t="s">
        <v>43</v>
      </c>
    </row>
    <row r="40" spans="1:10">
      <c r="A40">
        <v>37</v>
      </c>
      <c r="B40" t="s">
        <v>106</v>
      </c>
      <c r="C40" s="11" t="s">
        <v>31</v>
      </c>
      <c r="D40" s="13">
        <v>36</v>
      </c>
      <c r="E40" s="14">
        <v>544</v>
      </c>
      <c r="F40" t="s">
        <v>107</v>
      </c>
      <c r="G40" t="s">
        <v>24</v>
      </c>
      <c r="H40" t="s">
        <v>53</v>
      </c>
      <c r="I40">
        <v>3</v>
      </c>
      <c r="J40" t="s">
        <v>46</v>
      </c>
    </row>
    <row r="41" spans="1:10">
      <c r="A41">
        <v>38</v>
      </c>
      <c r="B41" t="s">
        <v>108</v>
      </c>
      <c r="C41" s="11" t="s">
        <v>31</v>
      </c>
      <c r="D41" s="13">
        <v>37</v>
      </c>
      <c r="E41" s="14">
        <v>567</v>
      </c>
      <c r="F41" t="s">
        <v>109</v>
      </c>
      <c r="G41" t="s">
        <v>24</v>
      </c>
      <c r="H41" t="s">
        <v>53</v>
      </c>
      <c r="I41">
        <v>3</v>
      </c>
      <c r="J41" t="s">
        <v>29</v>
      </c>
    </row>
    <row r="42" spans="1:10">
      <c r="A42">
        <v>39</v>
      </c>
      <c r="B42" t="s">
        <v>110</v>
      </c>
      <c r="C42" s="11" t="s">
        <v>31</v>
      </c>
      <c r="D42" s="13">
        <v>38</v>
      </c>
      <c r="E42" s="14">
        <v>590</v>
      </c>
      <c r="F42" t="s">
        <v>111</v>
      </c>
      <c r="G42" t="s">
        <v>24</v>
      </c>
      <c r="H42" t="s">
        <v>53</v>
      </c>
      <c r="I42">
        <v>3</v>
      </c>
      <c r="J42" t="s">
        <v>34</v>
      </c>
    </row>
    <row r="43" spans="1:10">
      <c r="A43">
        <v>40</v>
      </c>
      <c r="B43" t="s">
        <v>112</v>
      </c>
      <c r="C43" s="11" t="s">
        <v>31</v>
      </c>
      <c r="D43" s="13">
        <v>39</v>
      </c>
      <c r="E43" s="14">
        <v>614</v>
      </c>
      <c r="F43" t="s">
        <v>113</v>
      </c>
      <c r="G43" t="s">
        <v>24</v>
      </c>
      <c r="H43" t="s">
        <v>53</v>
      </c>
      <c r="I43">
        <v>3</v>
      </c>
      <c r="J43" t="s">
        <v>37</v>
      </c>
    </row>
    <row r="44" spans="1:10">
      <c r="A44">
        <v>41</v>
      </c>
      <c r="B44" t="s">
        <v>114</v>
      </c>
      <c r="C44" s="11" t="s">
        <v>31</v>
      </c>
      <c r="D44" s="13">
        <v>40</v>
      </c>
      <c r="E44" s="14">
        <v>638</v>
      </c>
      <c r="F44" t="s">
        <v>115</v>
      </c>
      <c r="G44" t="s">
        <v>24</v>
      </c>
      <c r="H44" t="s">
        <v>53</v>
      </c>
      <c r="I44">
        <v>3</v>
      </c>
      <c r="J44" t="s">
        <v>40</v>
      </c>
    </row>
    <row r="45" spans="1:10">
      <c r="A45">
        <v>42</v>
      </c>
      <c r="B45" t="s">
        <v>116</v>
      </c>
      <c r="C45" s="11" t="s">
        <v>31</v>
      </c>
      <c r="D45" s="13">
        <v>41</v>
      </c>
      <c r="E45" s="14">
        <v>663</v>
      </c>
      <c r="F45" t="s">
        <v>117</v>
      </c>
      <c r="G45" t="s">
        <v>24</v>
      </c>
      <c r="H45" t="s">
        <v>53</v>
      </c>
      <c r="I45">
        <v>3</v>
      </c>
      <c r="J45" t="s">
        <v>43</v>
      </c>
    </row>
    <row r="46" spans="1:10">
      <c r="A46">
        <v>43</v>
      </c>
      <c r="B46" t="s">
        <v>118</v>
      </c>
      <c r="C46" s="11" t="s">
        <v>31</v>
      </c>
      <c r="D46" s="13">
        <v>42</v>
      </c>
      <c r="E46" s="14">
        <v>688</v>
      </c>
      <c r="F46" t="s">
        <v>119</v>
      </c>
      <c r="G46" t="s">
        <v>24</v>
      </c>
      <c r="H46" t="s">
        <v>53</v>
      </c>
      <c r="I46">
        <v>3</v>
      </c>
      <c r="J46" t="s">
        <v>46</v>
      </c>
    </row>
    <row r="47" spans="1:10">
      <c r="A47">
        <v>44</v>
      </c>
      <c r="B47" t="s">
        <v>120</v>
      </c>
      <c r="C47" s="11" t="s">
        <v>31</v>
      </c>
      <c r="D47" s="13">
        <v>43</v>
      </c>
      <c r="E47" s="14">
        <v>714</v>
      </c>
      <c r="F47" t="s">
        <v>121</v>
      </c>
      <c r="G47" t="s">
        <v>24</v>
      </c>
      <c r="H47" t="s">
        <v>53</v>
      </c>
      <c r="I47">
        <v>3</v>
      </c>
      <c r="J47" t="s">
        <v>29</v>
      </c>
    </row>
    <row r="48" spans="1:10">
      <c r="A48">
        <v>45</v>
      </c>
      <c r="B48" t="s">
        <v>122</v>
      </c>
      <c r="C48" s="11" t="s">
        <v>31</v>
      </c>
      <c r="D48" s="13">
        <v>44</v>
      </c>
      <c r="E48" s="14">
        <v>740</v>
      </c>
      <c r="F48" t="s">
        <v>123</v>
      </c>
      <c r="G48" t="s">
        <v>24</v>
      </c>
      <c r="H48" t="s">
        <v>53</v>
      </c>
      <c r="I48">
        <v>3</v>
      </c>
      <c r="J48" t="s">
        <v>34</v>
      </c>
    </row>
    <row r="49" spans="1:10">
      <c r="A49">
        <v>46</v>
      </c>
      <c r="B49" t="s">
        <v>124</v>
      </c>
      <c r="C49" s="11" t="s">
        <v>31</v>
      </c>
      <c r="D49" s="13">
        <v>45</v>
      </c>
      <c r="E49" s="14">
        <v>767</v>
      </c>
      <c r="F49" t="s">
        <v>125</v>
      </c>
      <c r="G49" t="s">
        <v>24</v>
      </c>
      <c r="H49" t="s">
        <v>53</v>
      </c>
      <c r="I49">
        <v>3</v>
      </c>
      <c r="J49" t="s">
        <v>37</v>
      </c>
    </row>
    <row r="50" spans="1:10">
      <c r="A50">
        <v>47</v>
      </c>
      <c r="B50" t="s">
        <v>126</v>
      </c>
      <c r="C50" s="11" t="s">
        <v>31</v>
      </c>
      <c r="D50" s="13">
        <v>46</v>
      </c>
      <c r="E50" s="14">
        <v>795</v>
      </c>
      <c r="F50" t="s">
        <v>127</v>
      </c>
      <c r="G50" t="s">
        <v>24</v>
      </c>
      <c r="H50" t="s">
        <v>53</v>
      </c>
      <c r="I50">
        <v>3</v>
      </c>
      <c r="J50" t="s">
        <v>40</v>
      </c>
    </row>
    <row r="51" spans="1:10">
      <c r="A51">
        <v>48</v>
      </c>
      <c r="B51" t="s">
        <v>128</v>
      </c>
      <c r="C51" s="11" t="s">
        <v>31</v>
      </c>
      <c r="D51" s="13">
        <v>47</v>
      </c>
      <c r="E51" s="14">
        <v>823</v>
      </c>
      <c r="F51" t="s">
        <v>129</v>
      </c>
      <c r="G51" t="s">
        <v>24</v>
      </c>
      <c r="H51" t="s">
        <v>53</v>
      </c>
      <c r="I51">
        <v>3</v>
      </c>
      <c r="J51" t="s">
        <v>43</v>
      </c>
    </row>
    <row r="52" spans="1:10">
      <c r="A52">
        <v>49</v>
      </c>
      <c r="B52" t="s">
        <v>130</v>
      </c>
      <c r="C52" s="11" t="s">
        <v>31</v>
      </c>
      <c r="D52" s="13">
        <v>48</v>
      </c>
      <c r="E52" s="14">
        <v>852</v>
      </c>
      <c r="F52" t="s">
        <v>131</v>
      </c>
      <c r="G52" t="s">
        <v>24</v>
      </c>
      <c r="H52" t="s">
        <v>53</v>
      </c>
      <c r="I52">
        <v>3</v>
      </c>
      <c r="J52" t="s">
        <v>46</v>
      </c>
    </row>
    <row r="53" spans="1:10">
      <c r="A53">
        <v>50</v>
      </c>
      <c r="B53" t="s">
        <v>132</v>
      </c>
      <c r="C53" s="11" t="s">
        <v>31</v>
      </c>
      <c r="D53" s="13">
        <v>49</v>
      </c>
      <c r="E53" s="14">
        <v>881</v>
      </c>
      <c r="F53" t="s">
        <v>133</v>
      </c>
      <c r="G53" t="s">
        <v>24</v>
      </c>
      <c r="H53" t="s">
        <v>53</v>
      </c>
      <c r="I53">
        <v>3</v>
      </c>
      <c r="J53" t="s">
        <v>29</v>
      </c>
    </row>
    <row r="54" spans="1:10">
      <c r="A54">
        <v>51</v>
      </c>
      <c r="B54" t="s">
        <v>134</v>
      </c>
      <c r="C54" s="11" t="s">
        <v>31</v>
      </c>
      <c r="D54" s="13">
        <v>50</v>
      </c>
      <c r="E54" s="14">
        <v>911</v>
      </c>
      <c r="F54" t="s">
        <v>135</v>
      </c>
      <c r="G54" t="s">
        <v>24</v>
      </c>
      <c r="H54" t="s">
        <v>53</v>
      </c>
      <c r="I54">
        <v>3</v>
      </c>
      <c r="J54" t="s">
        <v>34</v>
      </c>
    </row>
    <row r="55" spans="1:10">
      <c r="A55">
        <v>52</v>
      </c>
      <c r="B55" t="s">
        <v>136</v>
      </c>
      <c r="C55" s="11" t="s">
        <v>31</v>
      </c>
      <c r="D55" s="13">
        <v>51</v>
      </c>
      <c r="E55" s="14">
        <v>942</v>
      </c>
      <c r="F55" t="s">
        <v>137</v>
      </c>
      <c r="G55" t="s">
        <v>24</v>
      </c>
      <c r="H55" t="s">
        <v>53</v>
      </c>
      <c r="I55">
        <v>3</v>
      </c>
      <c r="J55" t="s">
        <v>37</v>
      </c>
    </row>
    <row r="56" spans="1:10">
      <c r="A56">
        <v>53</v>
      </c>
      <c r="B56" t="s">
        <v>138</v>
      </c>
      <c r="C56" s="11" t="s">
        <v>31</v>
      </c>
      <c r="D56" s="13">
        <v>52</v>
      </c>
      <c r="E56" s="14">
        <v>973</v>
      </c>
      <c r="F56" t="s">
        <v>139</v>
      </c>
      <c r="G56" t="s">
        <v>24</v>
      </c>
      <c r="H56" t="s">
        <v>53</v>
      </c>
      <c r="I56">
        <v>3</v>
      </c>
      <c r="J56" t="s">
        <v>40</v>
      </c>
    </row>
    <row r="57" spans="1:10">
      <c r="A57">
        <v>54</v>
      </c>
      <c r="B57" t="s">
        <v>140</v>
      </c>
      <c r="C57" s="11" t="s">
        <v>31</v>
      </c>
      <c r="D57" s="13">
        <v>53</v>
      </c>
      <c r="E57" s="14">
        <v>1005</v>
      </c>
      <c r="F57" t="s">
        <v>141</v>
      </c>
      <c r="G57" t="s">
        <v>24</v>
      </c>
      <c r="H57" t="s">
        <v>53</v>
      </c>
      <c r="I57">
        <v>3</v>
      </c>
      <c r="J57" t="s">
        <v>43</v>
      </c>
    </row>
    <row r="58" spans="1:10">
      <c r="A58">
        <v>55</v>
      </c>
      <c r="B58" t="s">
        <v>142</v>
      </c>
      <c r="C58" s="11" t="s">
        <v>31</v>
      </c>
      <c r="D58" s="13">
        <v>54</v>
      </c>
      <c r="E58" s="14">
        <v>1038</v>
      </c>
      <c r="F58" t="s">
        <v>143</v>
      </c>
      <c r="G58" t="s">
        <v>24</v>
      </c>
      <c r="H58" t="s">
        <v>53</v>
      </c>
      <c r="I58">
        <v>3</v>
      </c>
      <c r="J58" t="s">
        <v>46</v>
      </c>
    </row>
    <row r="59" spans="1:10">
      <c r="A59">
        <v>56</v>
      </c>
      <c r="B59" t="s">
        <v>144</v>
      </c>
      <c r="C59" s="11" t="s">
        <v>31</v>
      </c>
      <c r="D59" s="13">
        <v>55</v>
      </c>
      <c r="E59" s="14">
        <v>1072</v>
      </c>
      <c r="F59" t="s">
        <v>145</v>
      </c>
      <c r="G59" t="s">
        <v>24</v>
      </c>
      <c r="H59" t="s">
        <v>53</v>
      </c>
      <c r="I59">
        <v>3</v>
      </c>
      <c r="J59" t="s">
        <v>29</v>
      </c>
    </row>
    <row r="60" spans="1:10">
      <c r="A60">
        <v>57</v>
      </c>
      <c r="B60" t="s">
        <v>146</v>
      </c>
      <c r="C60" s="11" t="s">
        <v>31</v>
      </c>
      <c r="D60" s="13">
        <v>56</v>
      </c>
      <c r="E60" s="14">
        <v>1106</v>
      </c>
      <c r="F60" t="s">
        <v>147</v>
      </c>
      <c r="G60" t="s">
        <v>24</v>
      </c>
      <c r="H60" t="s">
        <v>53</v>
      </c>
      <c r="I60">
        <v>3</v>
      </c>
      <c r="J60" t="s">
        <v>34</v>
      </c>
    </row>
    <row r="61" spans="1:10">
      <c r="A61">
        <v>58</v>
      </c>
      <c r="B61" t="s">
        <v>148</v>
      </c>
      <c r="C61" s="11" t="s">
        <v>31</v>
      </c>
      <c r="D61" s="13">
        <v>57</v>
      </c>
      <c r="E61" s="14">
        <v>1141</v>
      </c>
      <c r="F61" t="s">
        <v>149</v>
      </c>
      <c r="G61" t="s">
        <v>24</v>
      </c>
      <c r="H61" t="s">
        <v>53</v>
      </c>
      <c r="I61">
        <v>3</v>
      </c>
      <c r="J61" t="s">
        <v>37</v>
      </c>
    </row>
    <row r="62" spans="1:10">
      <c r="A62">
        <v>59</v>
      </c>
      <c r="B62" t="s">
        <v>150</v>
      </c>
      <c r="C62" s="11" t="s">
        <v>31</v>
      </c>
      <c r="D62" s="13">
        <v>58</v>
      </c>
      <c r="E62" s="14">
        <v>1177</v>
      </c>
      <c r="F62" t="s">
        <v>151</v>
      </c>
      <c r="G62" t="s">
        <v>24</v>
      </c>
      <c r="H62" t="s">
        <v>53</v>
      </c>
      <c r="I62">
        <v>3</v>
      </c>
      <c r="J62" t="s">
        <v>40</v>
      </c>
    </row>
    <row r="63" spans="1:10">
      <c r="A63">
        <v>60</v>
      </c>
      <c r="B63" t="s">
        <v>152</v>
      </c>
      <c r="C63" s="11" t="s">
        <v>31</v>
      </c>
      <c r="D63" s="13">
        <v>59</v>
      </c>
      <c r="E63" s="14">
        <v>1214</v>
      </c>
      <c r="F63" t="s">
        <v>153</v>
      </c>
      <c r="G63" t="s">
        <v>24</v>
      </c>
      <c r="H63" t="s">
        <v>53</v>
      </c>
      <c r="I63">
        <v>3</v>
      </c>
      <c r="J63" t="s">
        <v>43</v>
      </c>
    </row>
    <row r="64" spans="1:10">
      <c r="A64">
        <v>61</v>
      </c>
      <c r="B64" t="s">
        <v>154</v>
      </c>
      <c r="C64" s="11" t="s">
        <v>31</v>
      </c>
      <c r="D64" s="13">
        <v>60</v>
      </c>
      <c r="E64" s="14">
        <v>1251</v>
      </c>
      <c r="F64" t="s">
        <v>155</v>
      </c>
      <c r="G64" t="s">
        <v>24</v>
      </c>
      <c r="H64" t="s">
        <v>53</v>
      </c>
      <c r="I64">
        <v>3</v>
      </c>
      <c r="J64" t="s">
        <v>46</v>
      </c>
    </row>
    <row r="65" spans="1:10">
      <c r="A65">
        <v>62</v>
      </c>
      <c r="B65" t="s">
        <v>156</v>
      </c>
      <c r="C65" s="11" t="s">
        <v>31</v>
      </c>
      <c r="D65" s="13">
        <v>61</v>
      </c>
      <c r="E65" s="14">
        <v>1289</v>
      </c>
      <c r="F65" t="s">
        <v>157</v>
      </c>
      <c r="G65" t="s">
        <v>24</v>
      </c>
      <c r="H65" t="s">
        <v>53</v>
      </c>
      <c r="I65">
        <v>3</v>
      </c>
      <c r="J65" t="s">
        <v>29</v>
      </c>
    </row>
    <row r="66" spans="1:10">
      <c r="A66">
        <v>63</v>
      </c>
      <c r="B66" t="s">
        <v>158</v>
      </c>
      <c r="C66" s="11" t="s">
        <v>31</v>
      </c>
      <c r="D66" s="13">
        <v>62</v>
      </c>
      <c r="E66" s="14">
        <v>1328</v>
      </c>
      <c r="F66" t="s">
        <v>159</v>
      </c>
      <c r="G66" t="s">
        <v>24</v>
      </c>
      <c r="H66" t="s">
        <v>53</v>
      </c>
      <c r="I66">
        <v>3</v>
      </c>
      <c r="J66" t="s">
        <v>34</v>
      </c>
    </row>
    <row r="67" spans="1:10">
      <c r="A67">
        <v>64</v>
      </c>
      <c r="B67" t="s">
        <v>160</v>
      </c>
      <c r="C67" s="11" t="s">
        <v>31</v>
      </c>
      <c r="D67" s="13">
        <v>63</v>
      </c>
      <c r="E67" s="14">
        <v>1368</v>
      </c>
      <c r="F67" t="s">
        <v>161</v>
      </c>
      <c r="G67" t="s">
        <v>24</v>
      </c>
      <c r="H67" t="s">
        <v>53</v>
      </c>
      <c r="I67">
        <v>3</v>
      </c>
      <c r="J67" t="s">
        <v>37</v>
      </c>
    </row>
    <row r="68" spans="1:10">
      <c r="A68">
        <v>65</v>
      </c>
      <c r="B68" t="s">
        <v>162</v>
      </c>
      <c r="C68" s="11" t="s">
        <v>31</v>
      </c>
      <c r="D68" s="13">
        <v>64</v>
      </c>
      <c r="E68" s="14">
        <v>1409</v>
      </c>
      <c r="F68" t="s">
        <v>163</v>
      </c>
      <c r="G68" t="s">
        <v>24</v>
      </c>
      <c r="H68" t="s">
        <v>53</v>
      </c>
      <c r="I68">
        <v>3</v>
      </c>
      <c r="J68" t="s">
        <v>40</v>
      </c>
    </row>
    <row r="69" spans="1:10">
      <c r="A69">
        <v>66</v>
      </c>
      <c r="B69" t="s">
        <v>164</v>
      </c>
      <c r="C69" s="11" t="s">
        <v>31</v>
      </c>
      <c r="D69" s="13">
        <v>65</v>
      </c>
      <c r="E69" s="14">
        <v>1451</v>
      </c>
      <c r="F69" t="s">
        <v>165</v>
      </c>
      <c r="G69" t="s">
        <v>24</v>
      </c>
      <c r="H69" t="s">
        <v>53</v>
      </c>
      <c r="I69">
        <v>3</v>
      </c>
      <c r="J69" t="s">
        <v>43</v>
      </c>
    </row>
    <row r="70" spans="1:10">
      <c r="A70">
        <v>67</v>
      </c>
      <c r="B70" t="s">
        <v>166</v>
      </c>
      <c r="C70" s="11" t="s">
        <v>31</v>
      </c>
      <c r="D70" s="13">
        <v>66</v>
      </c>
      <c r="E70" s="14">
        <v>1494</v>
      </c>
      <c r="F70" t="s">
        <v>167</v>
      </c>
      <c r="G70" t="s">
        <v>24</v>
      </c>
      <c r="H70" t="s">
        <v>53</v>
      </c>
      <c r="I70">
        <v>3</v>
      </c>
      <c r="J70" t="s">
        <v>46</v>
      </c>
    </row>
    <row r="71" spans="1:10">
      <c r="A71">
        <v>68</v>
      </c>
      <c r="B71" t="s">
        <v>168</v>
      </c>
      <c r="C71" s="11" t="s">
        <v>31</v>
      </c>
      <c r="D71" s="13">
        <v>67</v>
      </c>
      <c r="E71" s="14">
        <v>1538</v>
      </c>
      <c r="F71" t="s">
        <v>169</v>
      </c>
      <c r="G71" t="s">
        <v>24</v>
      </c>
      <c r="H71" t="s">
        <v>53</v>
      </c>
      <c r="I71">
        <v>3</v>
      </c>
      <c r="J71" t="s">
        <v>29</v>
      </c>
    </row>
    <row r="72" spans="1:10">
      <c r="A72">
        <v>69</v>
      </c>
      <c r="B72" t="s">
        <v>170</v>
      </c>
      <c r="C72" s="11" t="s">
        <v>31</v>
      </c>
      <c r="D72" s="13">
        <v>68</v>
      </c>
      <c r="E72" s="14">
        <v>1583</v>
      </c>
      <c r="F72" t="s">
        <v>171</v>
      </c>
      <c r="G72" t="s">
        <v>24</v>
      </c>
      <c r="H72" t="s">
        <v>53</v>
      </c>
      <c r="I72">
        <v>3</v>
      </c>
      <c r="J72" t="s">
        <v>34</v>
      </c>
    </row>
    <row r="73" spans="1:10">
      <c r="A73">
        <v>70</v>
      </c>
      <c r="B73" t="s">
        <v>172</v>
      </c>
      <c r="C73" s="11" t="s">
        <v>31</v>
      </c>
      <c r="D73" s="13">
        <v>69</v>
      </c>
      <c r="E73" s="14">
        <v>1629</v>
      </c>
      <c r="F73" t="s">
        <v>173</v>
      </c>
      <c r="G73" t="s">
        <v>24</v>
      </c>
      <c r="H73" t="s">
        <v>53</v>
      </c>
      <c r="I73">
        <v>3</v>
      </c>
      <c r="J73" t="s">
        <v>37</v>
      </c>
    </row>
    <row r="74" spans="1:10">
      <c r="A74">
        <v>71</v>
      </c>
      <c r="B74" t="s">
        <v>174</v>
      </c>
      <c r="C74" s="11" t="s">
        <v>31</v>
      </c>
      <c r="D74" s="13">
        <v>70</v>
      </c>
      <c r="E74" s="14">
        <v>1676</v>
      </c>
      <c r="F74" t="s">
        <v>175</v>
      </c>
      <c r="G74" t="s">
        <v>24</v>
      </c>
      <c r="H74" t="s">
        <v>53</v>
      </c>
      <c r="I74">
        <v>3</v>
      </c>
      <c r="J74" t="s">
        <v>40</v>
      </c>
    </row>
    <row r="75" spans="1:10">
      <c r="A75">
        <v>72</v>
      </c>
      <c r="B75" t="s">
        <v>176</v>
      </c>
      <c r="C75" s="11" t="s">
        <v>31</v>
      </c>
      <c r="D75" s="13">
        <v>71</v>
      </c>
      <c r="E75" s="14">
        <v>1724</v>
      </c>
      <c r="F75" t="s">
        <v>177</v>
      </c>
      <c r="G75" t="s">
        <v>24</v>
      </c>
      <c r="H75" t="s">
        <v>53</v>
      </c>
      <c r="I75">
        <v>3</v>
      </c>
      <c r="J75" t="s">
        <v>43</v>
      </c>
    </row>
    <row r="76" spans="1:10">
      <c r="A76">
        <v>73</v>
      </c>
      <c r="B76" t="s">
        <v>178</v>
      </c>
      <c r="C76" s="11" t="s">
        <v>31</v>
      </c>
      <c r="D76" s="13">
        <v>72</v>
      </c>
      <c r="E76" s="14">
        <v>1773</v>
      </c>
      <c r="F76" t="s">
        <v>179</v>
      </c>
      <c r="G76" t="s">
        <v>24</v>
      </c>
      <c r="H76" t="s">
        <v>53</v>
      </c>
      <c r="I76">
        <v>3</v>
      </c>
      <c r="J76" t="s">
        <v>46</v>
      </c>
    </row>
    <row r="77" spans="1:10">
      <c r="A77">
        <v>74</v>
      </c>
      <c r="B77" t="s">
        <v>180</v>
      </c>
      <c r="C77" s="11" t="s">
        <v>31</v>
      </c>
      <c r="D77" s="13">
        <v>73</v>
      </c>
      <c r="E77" s="14">
        <v>1823</v>
      </c>
      <c r="F77" t="s">
        <v>181</v>
      </c>
      <c r="G77" t="s">
        <v>24</v>
      </c>
      <c r="H77" t="s">
        <v>53</v>
      </c>
      <c r="I77">
        <v>3</v>
      </c>
      <c r="J77" t="s">
        <v>29</v>
      </c>
    </row>
    <row r="78" spans="1:10">
      <c r="A78">
        <v>75</v>
      </c>
      <c r="B78" t="s">
        <v>182</v>
      </c>
      <c r="C78" s="11" t="s">
        <v>31</v>
      </c>
      <c r="D78" s="13">
        <v>74</v>
      </c>
      <c r="E78" s="14">
        <v>1874</v>
      </c>
      <c r="F78" t="s">
        <v>183</v>
      </c>
      <c r="G78" t="s">
        <v>24</v>
      </c>
      <c r="H78" t="s">
        <v>53</v>
      </c>
      <c r="I78">
        <v>3</v>
      </c>
      <c r="J78" t="s">
        <v>34</v>
      </c>
    </row>
    <row r="79" spans="1:10">
      <c r="A79">
        <v>76</v>
      </c>
      <c r="B79" t="s">
        <v>184</v>
      </c>
      <c r="C79" s="11" t="s">
        <v>31</v>
      </c>
      <c r="D79" s="13">
        <v>75</v>
      </c>
      <c r="E79" s="14">
        <v>1926</v>
      </c>
      <c r="F79" t="s">
        <v>185</v>
      </c>
      <c r="G79" t="s">
        <v>24</v>
      </c>
      <c r="H79" t="s">
        <v>53</v>
      </c>
      <c r="I79">
        <v>3</v>
      </c>
      <c r="J79" t="s">
        <v>37</v>
      </c>
    </row>
    <row r="80" spans="1:10">
      <c r="A80">
        <v>77</v>
      </c>
      <c r="B80" t="s">
        <v>186</v>
      </c>
      <c r="C80" s="11" t="s">
        <v>31</v>
      </c>
      <c r="D80" s="13">
        <v>76</v>
      </c>
      <c r="E80" s="14">
        <v>1979</v>
      </c>
      <c r="F80" t="s">
        <v>187</v>
      </c>
      <c r="G80" t="s">
        <v>24</v>
      </c>
      <c r="H80" t="s">
        <v>53</v>
      </c>
      <c r="I80">
        <v>3</v>
      </c>
      <c r="J80" t="s">
        <v>40</v>
      </c>
    </row>
    <row r="81" spans="1:10">
      <c r="A81">
        <v>78</v>
      </c>
      <c r="B81" t="s">
        <v>188</v>
      </c>
      <c r="C81" s="11" t="s">
        <v>31</v>
      </c>
      <c r="D81" s="13">
        <v>77</v>
      </c>
      <c r="E81" s="14">
        <v>2033</v>
      </c>
      <c r="F81" t="s">
        <v>189</v>
      </c>
      <c r="G81" t="s">
        <v>24</v>
      </c>
      <c r="H81" t="s">
        <v>53</v>
      </c>
      <c r="I81">
        <v>3</v>
      </c>
      <c r="J81" t="s">
        <v>43</v>
      </c>
    </row>
    <row r="82" spans="1:10">
      <c r="A82">
        <v>79</v>
      </c>
      <c r="B82" t="s">
        <v>190</v>
      </c>
      <c r="C82" s="11" t="s">
        <v>31</v>
      </c>
      <c r="D82" s="13">
        <v>78</v>
      </c>
      <c r="E82" s="14">
        <v>2088</v>
      </c>
      <c r="F82" t="s">
        <v>191</v>
      </c>
      <c r="G82" t="s">
        <v>24</v>
      </c>
      <c r="H82" t="s">
        <v>53</v>
      </c>
      <c r="I82">
        <v>3</v>
      </c>
      <c r="J82" t="s">
        <v>46</v>
      </c>
    </row>
    <row r="83" spans="1:10">
      <c r="A83">
        <v>80</v>
      </c>
      <c r="B83" t="s">
        <v>192</v>
      </c>
      <c r="C83" s="11" t="s">
        <v>31</v>
      </c>
      <c r="D83" s="13">
        <v>79</v>
      </c>
      <c r="E83" s="14">
        <v>2145</v>
      </c>
      <c r="F83" t="s">
        <v>193</v>
      </c>
      <c r="G83" t="s">
        <v>24</v>
      </c>
      <c r="H83" t="s">
        <v>53</v>
      </c>
      <c r="I83">
        <v>3</v>
      </c>
      <c r="J83" t="s">
        <v>29</v>
      </c>
    </row>
    <row r="84" spans="1:10">
      <c r="A84">
        <v>81</v>
      </c>
      <c r="B84" t="s">
        <v>194</v>
      </c>
      <c r="C84" s="11" t="s">
        <v>31</v>
      </c>
      <c r="D84" s="13">
        <v>80</v>
      </c>
      <c r="E84" s="14">
        <v>2203</v>
      </c>
      <c r="F84" t="s">
        <v>195</v>
      </c>
      <c r="G84" t="s">
        <v>24</v>
      </c>
      <c r="H84" t="s">
        <v>53</v>
      </c>
      <c r="I84">
        <v>3</v>
      </c>
      <c r="J84" t="s">
        <v>34</v>
      </c>
    </row>
    <row r="85" spans="1:10">
      <c r="A85">
        <v>82</v>
      </c>
      <c r="B85" t="s">
        <v>196</v>
      </c>
      <c r="C85" s="11" t="s">
        <v>31</v>
      </c>
      <c r="D85" s="13">
        <v>81</v>
      </c>
      <c r="E85" s="14">
        <v>2262</v>
      </c>
      <c r="F85" t="s">
        <v>197</v>
      </c>
      <c r="G85" t="s">
        <v>24</v>
      </c>
      <c r="H85" t="s">
        <v>53</v>
      </c>
      <c r="I85">
        <v>3</v>
      </c>
      <c r="J85" t="s">
        <v>37</v>
      </c>
    </row>
    <row r="86" spans="1:10">
      <c r="A86">
        <v>83</v>
      </c>
      <c r="B86" t="s">
        <v>198</v>
      </c>
      <c r="C86" s="11" t="s">
        <v>31</v>
      </c>
      <c r="D86" s="13">
        <v>82</v>
      </c>
      <c r="E86" s="14">
        <v>2322</v>
      </c>
      <c r="F86" t="s">
        <v>199</v>
      </c>
      <c r="G86" t="s">
        <v>24</v>
      </c>
      <c r="H86" t="s">
        <v>53</v>
      </c>
      <c r="I86">
        <v>3</v>
      </c>
      <c r="J86" t="s">
        <v>40</v>
      </c>
    </row>
    <row r="87" spans="1:10">
      <c r="A87">
        <v>84</v>
      </c>
      <c r="B87" t="s">
        <v>200</v>
      </c>
      <c r="C87" s="11" t="s">
        <v>31</v>
      </c>
      <c r="D87" s="13">
        <v>83</v>
      </c>
      <c r="E87" s="14">
        <v>2384</v>
      </c>
      <c r="F87" t="s">
        <v>201</v>
      </c>
      <c r="G87" t="s">
        <v>24</v>
      </c>
      <c r="H87" t="s">
        <v>53</v>
      </c>
      <c r="I87">
        <v>3</v>
      </c>
      <c r="J87" t="s">
        <v>43</v>
      </c>
    </row>
    <row r="88" spans="1:10">
      <c r="A88">
        <v>85</v>
      </c>
      <c r="B88" t="s">
        <v>202</v>
      </c>
      <c r="C88" s="11" t="s">
        <v>31</v>
      </c>
      <c r="D88" s="13">
        <v>84</v>
      </c>
      <c r="E88" s="14">
        <v>2447</v>
      </c>
      <c r="F88" t="s">
        <v>203</v>
      </c>
      <c r="G88" t="s">
        <v>24</v>
      </c>
      <c r="H88" t="s">
        <v>53</v>
      </c>
      <c r="I88">
        <v>3</v>
      </c>
      <c r="J88" t="s">
        <v>46</v>
      </c>
    </row>
    <row r="89" spans="1:10">
      <c r="A89">
        <v>86</v>
      </c>
      <c r="B89" t="s">
        <v>204</v>
      </c>
      <c r="C89" s="11" t="s">
        <v>31</v>
      </c>
      <c r="D89" s="13">
        <v>85</v>
      </c>
      <c r="E89" s="14">
        <v>2512</v>
      </c>
      <c r="F89" t="s">
        <v>205</v>
      </c>
      <c r="G89" t="s">
        <v>24</v>
      </c>
      <c r="H89" t="s">
        <v>53</v>
      </c>
      <c r="I89">
        <v>3</v>
      </c>
      <c r="J89" t="s">
        <v>29</v>
      </c>
    </row>
    <row r="90" spans="1:10">
      <c r="A90">
        <v>87</v>
      </c>
      <c r="B90" t="s">
        <v>206</v>
      </c>
      <c r="C90" s="11" t="s">
        <v>31</v>
      </c>
      <c r="D90" s="13">
        <v>86</v>
      </c>
      <c r="E90" s="14">
        <v>2578</v>
      </c>
      <c r="F90" t="s">
        <v>207</v>
      </c>
      <c r="G90" t="s">
        <v>24</v>
      </c>
      <c r="H90" t="s">
        <v>53</v>
      </c>
      <c r="I90">
        <v>3</v>
      </c>
      <c r="J90" t="s">
        <v>34</v>
      </c>
    </row>
    <row r="91" spans="1:10">
      <c r="A91">
        <v>88</v>
      </c>
      <c r="B91" t="s">
        <v>208</v>
      </c>
      <c r="C91" s="11" t="s">
        <v>31</v>
      </c>
      <c r="D91" s="13">
        <v>87</v>
      </c>
      <c r="E91" s="14">
        <v>2645</v>
      </c>
      <c r="F91" t="s">
        <v>209</v>
      </c>
      <c r="G91" t="s">
        <v>24</v>
      </c>
      <c r="H91" t="s">
        <v>53</v>
      </c>
      <c r="I91">
        <v>3</v>
      </c>
      <c r="J91" t="s">
        <v>37</v>
      </c>
    </row>
    <row r="92" spans="1:10">
      <c r="A92">
        <v>89</v>
      </c>
      <c r="B92" t="s">
        <v>210</v>
      </c>
      <c r="C92" s="11" t="s">
        <v>31</v>
      </c>
      <c r="D92" s="13">
        <v>88</v>
      </c>
      <c r="E92" s="14">
        <v>2714</v>
      </c>
      <c r="F92" t="s">
        <v>211</v>
      </c>
      <c r="G92" t="s">
        <v>24</v>
      </c>
      <c r="H92" t="s">
        <v>53</v>
      </c>
      <c r="I92">
        <v>3</v>
      </c>
      <c r="J92" t="s">
        <v>40</v>
      </c>
    </row>
    <row r="93" spans="1:10">
      <c r="A93">
        <v>90</v>
      </c>
      <c r="B93" t="s">
        <v>212</v>
      </c>
      <c r="C93" s="11" t="s">
        <v>31</v>
      </c>
      <c r="D93" s="13">
        <v>89</v>
      </c>
      <c r="E93" s="14">
        <v>2784</v>
      </c>
      <c r="F93" t="s">
        <v>213</v>
      </c>
      <c r="G93" t="s">
        <v>24</v>
      </c>
      <c r="H93" t="s">
        <v>53</v>
      </c>
      <c r="I93">
        <v>3</v>
      </c>
      <c r="J93" t="s">
        <v>43</v>
      </c>
    </row>
    <row r="94" spans="1:10">
      <c r="A94">
        <v>91</v>
      </c>
      <c r="B94" t="s">
        <v>214</v>
      </c>
      <c r="C94" s="11" t="s">
        <v>31</v>
      </c>
      <c r="D94" s="13">
        <v>90</v>
      </c>
      <c r="E94" s="14">
        <v>2856</v>
      </c>
      <c r="F94" t="s">
        <v>215</v>
      </c>
      <c r="G94" t="s">
        <v>24</v>
      </c>
      <c r="H94" t="s">
        <v>53</v>
      </c>
      <c r="I94">
        <v>3</v>
      </c>
      <c r="J94" t="s">
        <v>46</v>
      </c>
    </row>
    <row r="95" spans="1:10">
      <c r="A95">
        <v>92</v>
      </c>
      <c r="B95" t="s">
        <v>216</v>
      </c>
      <c r="C95" s="11" t="s">
        <v>31</v>
      </c>
      <c r="D95" s="13">
        <v>91</v>
      </c>
      <c r="E95" s="14">
        <v>2930</v>
      </c>
      <c r="F95" t="s">
        <v>217</v>
      </c>
      <c r="G95" t="s">
        <v>24</v>
      </c>
      <c r="H95" t="s">
        <v>53</v>
      </c>
      <c r="I95">
        <v>3</v>
      </c>
      <c r="J95" t="s">
        <v>29</v>
      </c>
    </row>
    <row r="96" spans="1:10">
      <c r="A96">
        <v>93</v>
      </c>
      <c r="B96" t="s">
        <v>30</v>
      </c>
      <c r="C96" s="11" t="s">
        <v>31</v>
      </c>
      <c r="D96" s="13">
        <v>92</v>
      </c>
      <c r="E96" s="14">
        <v>3005</v>
      </c>
      <c r="F96" t="s">
        <v>32</v>
      </c>
      <c r="G96" t="s">
        <v>24</v>
      </c>
      <c r="H96" t="s">
        <v>53</v>
      </c>
      <c r="I96">
        <v>3</v>
      </c>
      <c r="J96" t="s">
        <v>34</v>
      </c>
    </row>
    <row r="97" spans="1:10">
      <c r="A97">
        <v>94</v>
      </c>
      <c r="B97" t="s">
        <v>218</v>
      </c>
      <c r="C97" s="11" t="s">
        <v>31</v>
      </c>
      <c r="D97" s="13">
        <v>93</v>
      </c>
      <c r="E97" s="14">
        <v>3082</v>
      </c>
      <c r="F97" t="s">
        <v>219</v>
      </c>
      <c r="G97" t="s">
        <v>24</v>
      </c>
      <c r="H97" t="s">
        <v>53</v>
      </c>
      <c r="I97">
        <v>3</v>
      </c>
      <c r="J97" t="s">
        <v>37</v>
      </c>
    </row>
    <row r="98" spans="1:10">
      <c r="A98">
        <v>95</v>
      </c>
      <c r="B98" t="s">
        <v>220</v>
      </c>
      <c r="C98" s="11" t="s">
        <v>31</v>
      </c>
      <c r="D98" s="13">
        <v>94</v>
      </c>
      <c r="E98" s="14">
        <v>3161</v>
      </c>
      <c r="F98" t="s">
        <v>221</v>
      </c>
      <c r="G98" t="s">
        <v>24</v>
      </c>
      <c r="H98" t="s">
        <v>53</v>
      </c>
      <c r="I98">
        <v>3</v>
      </c>
      <c r="J98" t="s">
        <v>40</v>
      </c>
    </row>
    <row r="99" spans="1:10">
      <c r="A99">
        <v>96</v>
      </c>
      <c r="B99" t="s">
        <v>222</v>
      </c>
      <c r="C99" s="11" t="s">
        <v>31</v>
      </c>
      <c r="D99" s="13">
        <v>95</v>
      </c>
      <c r="E99" s="14">
        <v>3241</v>
      </c>
      <c r="F99" t="s">
        <v>223</v>
      </c>
      <c r="G99" t="s">
        <v>24</v>
      </c>
      <c r="H99" t="s">
        <v>53</v>
      </c>
      <c r="I99">
        <v>3</v>
      </c>
      <c r="J99" t="s">
        <v>43</v>
      </c>
    </row>
    <row r="100" spans="1:10">
      <c r="A100">
        <v>97</v>
      </c>
      <c r="B100" t="s">
        <v>224</v>
      </c>
      <c r="C100" s="11" t="s">
        <v>31</v>
      </c>
      <c r="D100" s="13">
        <v>96</v>
      </c>
      <c r="E100" s="14">
        <v>3323</v>
      </c>
      <c r="F100" t="s">
        <v>225</v>
      </c>
      <c r="G100" t="s">
        <v>24</v>
      </c>
      <c r="H100" t="s">
        <v>53</v>
      </c>
      <c r="I100">
        <v>3</v>
      </c>
      <c r="J100" t="s">
        <v>46</v>
      </c>
    </row>
    <row r="101" spans="1:10">
      <c r="A101">
        <v>98</v>
      </c>
      <c r="B101" t="s">
        <v>226</v>
      </c>
      <c r="C101" s="11" t="s">
        <v>31</v>
      </c>
      <c r="D101" s="13">
        <v>97</v>
      </c>
      <c r="E101" s="14">
        <v>3407</v>
      </c>
      <c r="F101" t="s">
        <v>227</v>
      </c>
      <c r="G101" t="s">
        <v>24</v>
      </c>
      <c r="H101" t="s">
        <v>53</v>
      </c>
      <c r="I101">
        <v>3</v>
      </c>
      <c r="J101" t="s">
        <v>29</v>
      </c>
    </row>
    <row r="102" spans="1:10">
      <c r="A102">
        <v>99</v>
      </c>
      <c r="B102" t="s">
        <v>228</v>
      </c>
      <c r="C102" s="11" t="s">
        <v>31</v>
      </c>
      <c r="D102" s="13">
        <v>98</v>
      </c>
      <c r="E102" s="14">
        <v>3493</v>
      </c>
      <c r="F102" t="s">
        <v>229</v>
      </c>
      <c r="G102" t="s">
        <v>24</v>
      </c>
      <c r="H102" t="s">
        <v>53</v>
      </c>
      <c r="I102">
        <v>3</v>
      </c>
      <c r="J102" t="s">
        <v>34</v>
      </c>
    </row>
    <row r="103" spans="1:10">
      <c r="A103">
        <v>100</v>
      </c>
      <c r="B103" t="s">
        <v>230</v>
      </c>
      <c r="C103" s="11" t="s">
        <v>31</v>
      </c>
      <c r="D103" s="13">
        <v>99</v>
      </c>
      <c r="E103" s="14">
        <v>3581</v>
      </c>
      <c r="F103" t="s">
        <v>231</v>
      </c>
      <c r="G103" t="s">
        <v>24</v>
      </c>
      <c r="H103" t="s">
        <v>53</v>
      </c>
      <c r="I103">
        <v>3</v>
      </c>
      <c r="J103" t="s">
        <v>37</v>
      </c>
    </row>
    <row r="104" spans="1:10">
      <c r="A104">
        <v>101</v>
      </c>
      <c r="B104" t="s">
        <v>232</v>
      </c>
      <c r="C104" s="11" t="s">
        <v>31</v>
      </c>
      <c r="D104" s="13">
        <v>101</v>
      </c>
      <c r="E104" s="14">
        <v>3673</v>
      </c>
      <c r="F104" t="s">
        <v>233</v>
      </c>
      <c r="G104" t="s">
        <v>24</v>
      </c>
      <c r="H104" t="s">
        <v>53</v>
      </c>
      <c r="I104">
        <v>3</v>
      </c>
      <c r="J104" t="s">
        <v>40</v>
      </c>
    </row>
    <row r="105" spans="1:10">
      <c r="A105">
        <v>102</v>
      </c>
      <c r="B105" t="s">
        <v>234</v>
      </c>
      <c r="C105" s="11" t="s">
        <v>31</v>
      </c>
      <c r="D105" s="13">
        <v>103</v>
      </c>
      <c r="E105" s="14">
        <v>3767</v>
      </c>
      <c r="F105" t="s">
        <v>235</v>
      </c>
      <c r="G105" t="s">
        <v>24</v>
      </c>
      <c r="H105" t="s">
        <v>53</v>
      </c>
      <c r="I105">
        <v>3</v>
      </c>
      <c r="J105" t="s">
        <v>43</v>
      </c>
    </row>
    <row r="106" spans="1:10">
      <c r="A106">
        <v>103</v>
      </c>
      <c r="B106" t="s">
        <v>236</v>
      </c>
      <c r="C106" s="11" t="s">
        <v>31</v>
      </c>
      <c r="D106" s="13">
        <v>105</v>
      </c>
      <c r="E106" s="14">
        <v>3863</v>
      </c>
      <c r="F106" t="s">
        <v>237</v>
      </c>
      <c r="G106" t="s">
        <v>24</v>
      </c>
      <c r="H106" t="s">
        <v>53</v>
      </c>
      <c r="I106">
        <v>3</v>
      </c>
      <c r="J106" t="s">
        <v>46</v>
      </c>
    </row>
    <row r="107" spans="1:10">
      <c r="A107">
        <v>104</v>
      </c>
      <c r="B107" t="s">
        <v>192</v>
      </c>
      <c r="C107" s="11" t="s">
        <v>31</v>
      </c>
      <c r="D107" s="13">
        <v>107</v>
      </c>
      <c r="E107" s="14">
        <v>3961</v>
      </c>
      <c r="F107" t="s">
        <v>193</v>
      </c>
      <c r="G107" t="s">
        <v>24</v>
      </c>
      <c r="H107" t="s">
        <v>53</v>
      </c>
      <c r="I107">
        <v>3</v>
      </c>
      <c r="J107" t="s">
        <v>29</v>
      </c>
    </row>
    <row r="108" spans="1:10">
      <c r="A108">
        <v>105</v>
      </c>
      <c r="B108" t="s">
        <v>238</v>
      </c>
      <c r="C108" s="11" t="s">
        <v>31</v>
      </c>
      <c r="D108" s="13">
        <v>109</v>
      </c>
      <c r="E108" s="14">
        <v>4061</v>
      </c>
      <c r="F108" t="s">
        <v>239</v>
      </c>
      <c r="G108" t="s">
        <v>24</v>
      </c>
      <c r="H108" t="s">
        <v>53</v>
      </c>
      <c r="I108">
        <v>3</v>
      </c>
      <c r="J108" t="s">
        <v>34</v>
      </c>
    </row>
    <row r="109" spans="1:10">
      <c r="A109">
        <v>106</v>
      </c>
      <c r="B109" t="s">
        <v>240</v>
      </c>
      <c r="C109" s="11" t="s">
        <v>31</v>
      </c>
      <c r="D109" s="13">
        <v>111</v>
      </c>
      <c r="E109" s="14">
        <v>4163</v>
      </c>
      <c r="F109" t="s">
        <v>241</v>
      </c>
      <c r="G109" t="s">
        <v>24</v>
      </c>
      <c r="H109" t="s">
        <v>53</v>
      </c>
      <c r="I109">
        <v>3</v>
      </c>
      <c r="J109" t="s">
        <v>37</v>
      </c>
    </row>
    <row r="110" spans="1:10">
      <c r="A110">
        <v>107</v>
      </c>
      <c r="B110" t="s">
        <v>242</v>
      </c>
      <c r="C110" s="11" t="s">
        <v>31</v>
      </c>
      <c r="D110" s="13">
        <v>113</v>
      </c>
      <c r="E110" s="14">
        <v>4267</v>
      </c>
      <c r="F110" t="s">
        <v>243</v>
      </c>
      <c r="G110" t="s">
        <v>24</v>
      </c>
      <c r="H110" t="s">
        <v>53</v>
      </c>
      <c r="I110">
        <v>3</v>
      </c>
      <c r="J110" t="s">
        <v>40</v>
      </c>
    </row>
    <row r="111" spans="1:10">
      <c r="A111">
        <v>108</v>
      </c>
      <c r="B111" t="s">
        <v>244</v>
      </c>
      <c r="C111" s="11" t="s">
        <v>31</v>
      </c>
      <c r="D111" s="13">
        <v>115</v>
      </c>
      <c r="E111" s="14">
        <v>4374</v>
      </c>
      <c r="F111" t="s">
        <v>245</v>
      </c>
      <c r="G111" t="s">
        <v>24</v>
      </c>
      <c r="H111" t="s">
        <v>53</v>
      </c>
      <c r="I111">
        <v>3</v>
      </c>
      <c r="J111" t="s">
        <v>43</v>
      </c>
    </row>
    <row r="112" spans="1:10">
      <c r="A112">
        <v>109</v>
      </c>
      <c r="B112" t="s">
        <v>246</v>
      </c>
      <c r="C112" s="11" t="s">
        <v>31</v>
      </c>
      <c r="D112" s="13">
        <v>117</v>
      </c>
      <c r="E112" s="14">
        <v>4483</v>
      </c>
      <c r="F112" t="s">
        <v>247</v>
      </c>
      <c r="G112" t="s">
        <v>24</v>
      </c>
      <c r="H112" t="s">
        <v>53</v>
      </c>
      <c r="I112">
        <v>3</v>
      </c>
      <c r="J112" t="s">
        <v>46</v>
      </c>
    </row>
    <row r="113" spans="1:10">
      <c r="A113">
        <v>110</v>
      </c>
      <c r="B113" t="s">
        <v>248</v>
      </c>
      <c r="C113" s="11" t="s">
        <v>31</v>
      </c>
      <c r="D113" s="13">
        <v>119</v>
      </c>
      <c r="E113" s="14">
        <v>4594</v>
      </c>
      <c r="F113" t="s">
        <v>249</v>
      </c>
      <c r="G113" t="s">
        <v>24</v>
      </c>
      <c r="H113" t="s">
        <v>53</v>
      </c>
      <c r="I113">
        <v>3</v>
      </c>
      <c r="J113" t="s">
        <v>29</v>
      </c>
    </row>
    <row r="114" spans="1:10">
      <c r="A114">
        <v>111</v>
      </c>
      <c r="B114" t="s">
        <v>250</v>
      </c>
      <c r="C114" s="11" t="s">
        <v>31</v>
      </c>
      <c r="D114" s="13">
        <v>121</v>
      </c>
      <c r="E114" s="14">
        <v>4708</v>
      </c>
      <c r="F114" t="s">
        <v>251</v>
      </c>
      <c r="G114" t="s">
        <v>24</v>
      </c>
      <c r="H114" t="s">
        <v>53</v>
      </c>
      <c r="I114">
        <v>3</v>
      </c>
      <c r="J114" t="s">
        <v>34</v>
      </c>
    </row>
    <row r="115" spans="1:10">
      <c r="A115">
        <v>112</v>
      </c>
      <c r="B115" t="s">
        <v>252</v>
      </c>
      <c r="C115" s="11" t="s">
        <v>31</v>
      </c>
      <c r="D115" s="13">
        <v>123</v>
      </c>
      <c r="E115" s="14">
        <v>4824</v>
      </c>
      <c r="F115" t="s">
        <v>253</v>
      </c>
      <c r="G115" t="s">
        <v>24</v>
      </c>
      <c r="H115" t="s">
        <v>53</v>
      </c>
      <c r="I115">
        <v>3</v>
      </c>
      <c r="J115" t="s">
        <v>37</v>
      </c>
    </row>
    <row r="116" spans="1:10">
      <c r="A116">
        <v>113</v>
      </c>
      <c r="B116" t="s">
        <v>254</v>
      </c>
      <c r="C116" s="11" t="s">
        <v>31</v>
      </c>
      <c r="D116" s="13">
        <v>125</v>
      </c>
      <c r="E116" s="14">
        <v>4943</v>
      </c>
      <c r="F116" t="s">
        <v>255</v>
      </c>
      <c r="G116" t="s">
        <v>24</v>
      </c>
      <c r="H116" t="s">
        <v>53</v>
      </c>
      <c r="I116">
        <v>3</v>
      </c>
      <c r="J116" t="s">
        <v>40</v>
      </c>
    </row>
    <row r="117" spans="1:10">
      <c r="A117">
        <v>114</v>
      </c>
      <c r="B117" t="s">
        <v>256</v>
      </c>
      <c r="C117" s="11" t="s">
        <v>31</v>
      </c>
      <c r="D117" s="13">
        <v>127</v>
      </c>
      <c r="E117" s="14">
        <v>5065</v>
      </c>
      <c r="F117" t="s">
        <v>257</v>
      </c>
      <c r="G117" t="s">
        <v>24</v>
      </c>
      <c r="H117" t="s">
        <v>53</v>
      </c>
      <c r="I117">
        <v>3</v>
      </c>
      <c r="J117" t="s">
        <v>43</v>
      </c>
    </row>
    <row r="118" spans="1:10">
      <c r="A118">
        <v>115</v>
      </c>
      <c r="B118" t="s">
        <v>258</v>
      </c>
      <c r="C118" s="11" t="s">
        <v>31</v>
      </c>
      <c r="D118" s="13">
        <v>129</v>
      </c>
      <c r="E118" s="14">
        <v>5189</v>
      </c>
      <c r="F118" t="s">
        <v>259</v>
      </c>
      <c r="G118" t="s">
        <v>24</v>
      </c>
      <c r="H118" t="s">
        <v>53</v>
      </c>
      <c r="I118">
        <v>3</v>
      </c>
      <c r="J118" t="s">
        <v>46</v>
      </c>
    </row>
    <row r="119" spans="1:10">
      <c r="A119">
        <v>116</v>
      </c>
      <c r="B119" t="s">
        <v>120</v>
      </c>
      <c r="C119" s="11" t="s">
        <v>31</v>
      </c>
      <c r="D119" s="13">
        <v>131</v>
      </c>
      <c r="E119" s="14">
        <v>5316</v>
      </c>
      <c r="F119" t="s">
        <v>121</v>
      </c>
      <c r="G119" t="s">
        <v>24</v>
      </c>
      <c r="H119" t="s">
        <v>53</v>
      </c>
      <c r="I119">
        <v>3</v>
      </c>
      <c r="J119" t="s">
        <v>29</v>
      </c>
    </row>
    <row r="120" spans="1:10">
      <c r="A120">
        <v>117</v>
      </c>
      <c r="B120" t="s">
        <v>260</v>
      </c>
      <c r="C120" s="11" t="s">
        <v>31</v>
      </c>
      <c r="D120" s="13">
        <v>133</v>
      </c>
      <c r="E120" s="14">
        <v>5446</v>
      </c>
      <c r="F120" t="s">
        <v>261</v>
      </c>
      <c r="G120" t="s">
        <v>24</v>
      </c>
      <c r="H120" t="s">
        <v>53</v>
      </c>
      <c r="I120">
        <v>3</v>
      </c>
      <c r="J120" t="s">
        <v>34</v>
      </c>
    </row>
    <row r="121" spans="1:10">
      <c r="A121">
        <v>118</v>
      </c>
      <c r="B121" t="s">
        <v>262</v>
      </c>
      <c r="C121" s="11" t="s">
        <v>31</v>
      </c>
      <c r="D121" s="13">
        <v>135</v>
      </c>
      <c r="E121" s="14">
        <v>5579</v>
      </c>
      <c r="F121" t="s">
        <v>263</v>
      </c>
      <c r="G121" t="s">
        <v>24</v>
      </c>
      <c r="H121" t="s">
        <v>53</v>
      </c>
      <c r="I121">
        <v>3</v>
      </c>
      <c r="J121" t="s">
        <v>37</v>
      </c>
    </row>
    <row r="122" spans="1:10">
      <c r="A122">
        <v>119</v>
      </c>
      <c r="B122" t="s">
        <v>264</v>
      </c>
      <c r="C122" s="11" t="s">
        <v>31</v>
      </c>
      <c r="D122" s="13">
        <v>137</v>
      </c>
      <c r="E122" s="14">
        <v>5715</v>
      </c>
      <c r="F122" t="s">
        <v>265</v>
      </c>
      <c r="G122" t="s">
        <v>24</v>
      </c>
      <c r="H122" t="s">
        <v>53</v>
      </c>
      <c r="I122">
        <v>3</v>
      </c>
      <c r="J122" t="s">
        <v>40</v>
      </c>
    </row>
    <row r="123" spans="1:10">
      <c r="A123">
        <v>120</v>
      </c>
      <c r="B123" t="s">
        <v>266</v>
      </c>
      <c r="C123" s="11" t="s">
        <v>31</v>
      </c>
      <c r="D123" s="13">
        <v>139</v>
      </c>
      <c r="E123" s="14">
        <v>5853</v>
      </c>
      <c r="F123" t="s">
        <v>267</v>
      </c>
      <c r="G123" t="s">
        <v>24</v>
      </c>
      <c r="H123" t="s">
        <v>53</v>
      </c>
      <c r="I123">
        <v>3</v>
      </c>
      <c r="J123" t="s">
        <v>43</v>
      </c>
    </row>
    <row r="124" spans="1:10">
      <c r="A124">
        <v>121</v>
      </c>
      <c r="B124" t="s">
        <v>268</v>
      </c>
      <c r="C124" s="11" t="s">
        <v>31</v>
      </c>
      <c r="D124" s="13">
        <v>141</v>
      </c>
      <c r="E124" s="14">
        <v>5995</v>
      </c>
      <c r="F124" t="s">
        <v>269</v>
      </c>
      <c r="G124" t="s">
        <v>24</v>
      </c>
      <c r="H124" t="s">
        <v>53</v>
      </c>
      <c r="I124">
        <v>3</v>
      </c>
      <c r="J124" t="s">
        <v>46</v>
      </c>
    </row>
    <row r="125" spans="1:10">
      <c r="A125">
        <v>122</v>
      </c>
      <c r="B125" t="s">
        <v>270</v>
      </c>
      <c r="C125" s="11" t="s">
        <v>31</v>
      </c>
      <c r="D125" s="13">
        <v>143</v>
      </c>
      <c r="E125" s="14">
        <v>6140</v>
      </c>
      <c r="F125" t="s">
        <v>271</v>
      </c>
      <c r="G125" t="s">
        <v>24</v>
      </c>
      <c r="H125" t="s">
        <v>53</v>
      </c>
      <c r="I125">
        <v>3</v>
      </c>
      <c r="J125" t="s">
        <v>29</v>
      </c>
    </row>
    <row r="126" spans="1:10">
      <c r="A126">
        <v>123</v>
      </c>
      <c r="B126" t="s">
        <v>272</v>
      </c>
      <c r="C126" s="11" t="s">
        <v>31</v>
      </c>
      <c r="D126" s="13">
        <v>145</v>
      </c>
      <c r="E126" s="14">
        <v>6288</v>
      </c>
      <c r="F126" t="s">
        <v>273</v>
      </c>
      <c r="G126" t="s">
        <v>24</v>
      </c>
      <c r="H126" t="s">
        <v>53</v>
      </c>
      <c r="I126">
        <v>3</v>
      </c>
      <c r="J126" t="s">
        <v>34</v>
      </c>
    </row>
    <row r="127" spans="1:10">
      <c r="A127">
        <v>124</v>
      </c>
      <c r="B127" t="s">
        <v>274</v>
      </c>
      <c r="C127" s="11" t="s">
        <v>31</v>
      </c>
      <c r="D127" s="13">
        <v>147</v>
      </c>
      <c r="E127" s="14">
        <v>6439</v>
      </c>
      <c r="F127" t="s">
        <v>275</v>
      </c>
      <c r="G127" t="s">
        <v>24</v>
      </c>
      <c r="H127" t="s">
        <v>53</v>
      </c>
      <c r="I127">
        <v>3</v>
      </c>
      <c r="J127" t="s">
        <v>37</v>
      </c>
    </row>
    <row r="128" spans="1:10">
      <c r="A128">
        <v>125</v>
      </c>
      <c r="B128" t="s">
        <v>276</v>
      </c>
      <c r="C128" s="11" t="s">
        <v>31</v>
      </c>
      <c r="D128" s="13">
        <v>149</v>
      </c>
      <c r="E128" s="14">
        <v>6593</v>
      </c>
      <c r="F128" t="s">
        <v>277</v>
      </c>
      <c r="G128" t="s">
        <v>24</v>
      </c>
      <c r="H128" t="s">
        <v>53</v>
      </c>
      <c r="I128">
        <v>3</v>
      </c>
      <c r="J128" t="s">
        <v>40</v>
      </c>
    </row>
    <row r="129" spans="1:10">
      <c r="A129">
        <v>126</v>
      </c>
      <c r="B129" t="s">
        <v>278</v>
      </c>
      <c r="C129" s="11" t="s">
        <v>31</v>
      </c>
      <c r="D129" s="13">
        <v>151</v>
      </c>
      <c r="E129" s="14">
        <v>6751</v>
      </c>
      <c r="F129" t="s">
        <v>279</v>
      </c>
      <c r="G129" t="s">
        <v>24</v>
      </c>
      <c r="H129" t="s">
        <v>53</v>
      </c>
      <c r="I129">
        <v>3</v>
      </c>
      <c r="J129" t="s">
        <v>43</v>
      </c>
    </row>
    <row r="130" spans="1:10">
      <c r="A130">
        <v>127</v>
      </c>
      <c r="B130" t="s">
        <v>280</v>
      </c>
      <c r="C130" s="11" t="s">
        <v>31</v>
      </c>
      <c r="D130" s="13">
        <v>153</v>
      </c>
      <c r="E130" s="14">
        <v>6912</v>
      </c>
      <c r="F130" t="s">
        <v>281</v>
      </c>
      <c r="G130" t="s">
        <v>24</v>
      </c>
      <c r="H130" t="s">
        <v>53</v>
      </c>
      <c r="I130">
        <v>3</v>
      </c>
      <c r="J130" t="s">
        <v>46</v>
      </c>
    </row>
    <row r="131" spans="1:10">
      <c r="A131">
        <v>128</v>
      </c>
      <c r="B131" t="s">
        <v>282</v>
      </c>
      <c r="C131" s="11" t="s">
        <v>31</v>
      </c>
      <c r="D131" s="13">
        <v>155</v>
      </c>
      <c r="E131" s="14">
        <v>7077</v>
      </c>
      <c r="F131" t="s">
        <v>283</v>
      </c>
      <c r="G131" t="s">
        <v>24</v>
      </c>
      <c r="H131" t="s">
        <v>53</v>
      </c>
      <c r="I131">
        <v>3</v>
      </c>
      <c r="J131" t="s">
        <v>29</v>
      </c>
    </row>
    <row r="132" spans="1:10">
      <c r="A132">
        <v>129</v>
      </c>
      <c r="B132" t="s">
        <v>284</v>
      </c>
      <c r="C132" s="11" t="s">
        <v>31</v>
      </c>
      <c r="D132" s="13">
        <v>157</v>
      </c>
      <c r="E132" s="14">
        <v>7245</v>
      </c>
      <c r="F132" t="s">
        <v>285</v>
      </c>
      <c r="G132" t="s">
        <v>24</v>
      </c>
      <c r="H132" t="s">
        <v>53</v>
      </c>
      <c r="I132">
        <v>3</v>
      </c>
      <c r="J132" t="s">
        <v>34</v>
      </c>
    </row>
    <row r="133" spans="1:10">
      <c r="A133">
        <v>130</v>
      </c>
      <c r="B133" t="s">
        <v>286</v>
      </c>
      <c r="C133" s="11" t="s">
        <v>31</v>
      </c>
      <c r="D133" s="13">
        <v>159</v>
      </c>
      <c r="E133" s="14">
        <v>7417</v>
      </c>
      <c r="F133" t="s">
        <v>287</v>
      </c>
      <c r="G133" t="s">
        <v>24</v>
      </c>
      <c r="H133" t="s">
        <v>53</v>
      </c>
      <c r="I133">
        <v>3</v>
      </c>
      <c r="J133" t="s">
        <v>37</v>
      </c>
    </row>
    <row r="134" spans="1:10">
      <c r="A134">
        <v>131</v>
      </c>
      <c r="B134" t="s">
        <v>288</v>
      </c>
      <c r="C134" s="11" t="s">
        <v>31</v>
      </c>
      <c r="D134" s="13">
        <v>161</v>
      </c>
      <c r="E134" s="14">
        <v>7593</v>
      </c>
      <c r="F134" t="s">
        <v>289</v>
      </c>
      <c r="G134" t="s">
        <v>24</v>
      </c>
      <c r="H134" t="s">
        <v>53</v>
      </c>
      <c r="I134">
        <v>3</v>
      </c>
      <c r="J134" t="s">
        <v>40</v>
      </c>
    </row>
    <row r="135" spans="1:10">
      <c r="A135">
        <v>132</v>
      </c>
      <c r="B135" t="s">
        <v>290</v>
      </c>
      <c r="C135" s="11" t="s">
        <v>31</v>
      </c>
      <c r="D135" s="13">
        <v>163</v>
      </c>
      <c r="E135" s="14">
        <v>7773</v>
      </c>
      <c r="F135" t="s">
        <v>291</v>
      </c>
      <c r="G135" t="s">
        <v>24</v>
      </c>
      <c r="H135" t="s">
        <v>53</v>
      </c>
      <c r="I135">
        <v>3</v>
      </c>
      <c r="J135" t="s">
        <v>43</v>
      </c>
    </row>
    <row r="136" spans="1:10">
      <c r="A136">
        <v>133</v>
      </c>
      <c r="B136" t="s">
        <v>292</v>
      </c>
      <c r="C136" s="11" t="s">
        <v>31</v>
      </c>
      <c r="D136" s="13">
        <v>165</v>
      </c>
      <c r="E136" s="14">
        <v>7957</v>
      </c>
      <c r="F136" t="s">
        <v>293</v>
      </c>
      <c r="G136" t="s">
        <v>24</v>
      </c>
      <c r="H136" t="s">
        <v>53</v>
      </c>
      <c r="I136">
        <v>3</v>
      </c>
      <c r="J136" t="s">
        <v>46</v>
      </c>
    </row>
    <row r="137" spans="1:10">
      <c r="A137">
        <v>134</v>
      </c>
      <c r="B137" t="s">
        <v>294</v>
      </c>
      <c r="C137" s="11" t="s">
        <v>31</v>
      </c>
      <c r="D137" s="13">
        <v>167</v>
      </c>
      <c r="E137" s="14">
        <v>8145</v>
      </c>
      <c r="F137" t="s">
        <v>295</v>
      </c>
      <c r="G137" t="s">
        <v>24</v>
      </c>
      <c r="H137" t="s">
        <v>53</v>
      </c>
      <c r="I137">
        <v>3</v>
      </c>
      <c r="J137" t="s">
        <v>29</v>
      </c>
    </row>
    <row r="138" spans="1:10">
      <c r="A138">
        <v>135</v>
      </c>
      <c r="B138" t="s">
        <v>296</v>
      </c>
      <c r="C138" s="11" t="s">
        <v>31</v>
      </c>
      <c r="D138" s="13">
        <v>169</v>
      </c>
      <c r="E138" s="14">
        <v>8337</v>
      </c>
      <c r="F138" t="s">
        <v>297</v>
      </c>
      <c r="G138" t="s">
        <v>24</v>
      </c>
      <c r="H138" t="s">
        <v>53</v>
      </c>
      <c r="I138">
        <v>3</v>
      </c>
      <c r="J138" t="s">
        <v>34</v>
      </c>
    </row>
    <row r="139" spans="1:10">
      <c r="A139">
        <v>136</v>
      </c>
      <c r="B139" t="s">
        <v>298</v>
      </c>
      <c r="C139" s="11" t="s">
        <v>31</v>
      </c>
      <c r="D139" s="13">
        <v>171</v>
      </c>
      <c r="E139" s="14">
        <v>8533</v>
      </c>
      <c r="F139" t="s">
        <v>299</v>
      </c>
      <c r="G139" t="s">
        <v>24</v>
      </c>
      <c r="H139" t="s">
        <v>53</v>
      </c>
      <c r="I139">
        <v>3</v>
      </c>
      <c r="J139" t="s">
        <v>37</v>
      </c>
    </row>
    <row r="140" spans="1:10">
      <c r="A140">
        <v>137</v>
      </c>
      <c r="B140" t="s">
        <v>300</v>
      </c>
      <c r="C140" s="11" t="s">
        <v>31</v>
      </c>
      <c r="D140" s="13">
        <v>173</v>
      </c>
      <c r="E140" s="14">
        <v>8733</v>
      </c>
      <c r="F140" t="s">
        <v>301</v>
      </c>
      <c r="G140" t="s">
        <v>24</v>
      </c>
      <c r="H140" t="s">
        <v>53</v>
      </c>
      <c r="I140">
        <v>3</v>
      </c>
      <c r="J140" t="s">
        <v>40</v>
      </c>
    </row>
    <row r="141" spans="1:10">
      <c r="A141">
        <v>138</v>
      </c>
      <c r="B141" t="s">
        <v>302</v>
      </c>
      <c r="C141" s="11" t="s">
        <v>31</v>
      </c>
      <c r="D141" s="13">
        <v>175</v>
      </c>
      <c r="E141" s="14">
        <v>8938</v>
      </c>
      <c r="F141" t="s">
        <v>303</v>
      </c>
      <c r="G141" t="s">
        <v>24</v>
      </c>
      <c r="H141" t="s">
        <v>53</v>
      </c>
      <c r="I141">
        <v>3</v>
      </c>
      <c r="J141" t="s">
        <v>43</v>
      </c>
    </row>
    <row r="142" spans="1:10">
      <c r="A142">
        <v>139</v>
      </c>
      <c r="B142" t="s">
        <v>304</v>
      </c>
      <c r="C142" s="11" t="s">
        <v>31</v>
      </c>
      <c r="D142" s="13">
        <v>177</v>
      </c>
      <c r="E142" s="14">
        <v>9147</v>
      </c>
      <c r="F142" t="s">
        <v>305</v>
      </c>
      <c r="G142" t="s">
        <v>24</v>
      </c>
      <c r="H142" t="s">
        <v>53</v>
      </c>
      <c r="I142">
        <v>3</v>
      </c>
      <c r="J142" t="s">
        <v>46</v>
      </c>
    </row>
    <row r="143" spans="1:10">
      <c r="A143">
        <v>140</v>
      </c>
      <c r="B143" t="s">
        <v>306</v>
      </c>
      <c r="C143" s="11" t="s">
        <v>31</v>
      </c>
      <c r="D143" s="13">
        <v>179</v>
      </c>
      <c r="E143" s="14">
        <v>9361</v>
      </c>
      <c r="F143" t="s">
        <v>307</v>
      </c>
      <c r="G143" t="s">
        <v>24</v>
      </c>
      <c r="H143" t="s">
        <v>53</v>
      </c>
      <c r="I143">
        <v>3</v>
      </c>
      <c r="J143" t="s">
        <v>29</v>
      </c>
    </row>
    <row r="144" spans="1:10">
      <c r="A144">
        <v>141</v>
      </c>
      <c r="B144" t="s">
        <v>308</v>
      </c>
      <c r="C144" s="11" t="s">
        <v>31</v>
      </c>
      <c r="D144" s="13">
        <v>181</v>
      </c>
      <c r="E144" s="14">
        <v>9580</v>
      </c>
      <c r="F144" t="s">
        <v>309</v>
      </c>
      <c r="G144" t="s">
        <v>24</v>
      </c>
      <c r="H144" t="s">
        <v>53</v>
      </c>
      <c r="I144">
        <v>3</v>
      </c>
      <c r="J144" t="s">
        <v>34</v>
      </c>
    </row>
    <row r="145" spans="1:10">
      <c r="A145">
        <v>142</v>
      </c>
      <c r="B145" t="s">
        <v>310</v>
      </c>
      <c r="C145" s="11" t="s">
        <v>31</v>
      </c>
      <c r="D145" s="13">
        <v>183</v>
      </c>
      <c r="E145" s="14">
        <v>9804</v>
      </c>
      <c r="F145" t="s">
        <v>311</v>
      </c>
      <c r="G145" t="s">
        <v>24</v>
      </c>
      <c r="H145" t="s">
        <v>53</v>
      </c>
      <c r="I145">
        <v>3</v>
      </c>
      <c r="J145" t="s">
        <v>37</v>
      </c>
    </row>
    <row r="146" spans="1:10">
      <c r="A146">
        <v>143</v>
      </c>
      <c r="B146" t="s">
        <v>312</v>
      </c>
      <c r="C146" s="11" t="s">
        <v>31</v>
      </c>
      <c r="D146" s="13">
        <v>185</v>
      </c>
      <c r="E146" s="14">
        <v>10032</v>
      </c>
      <c r="F146" t="s">
        <v>313</v>
      </c>
      <c r="G146" t="s">
        <v>24</v>
      </c>
      <c r="H146" t="s">
        <v>53</v>
      </c>
      <c r="I146">
        <v>3</v>
      </c>
      <c r="J146" t="s">
        <v>40</v>
      </c>
    </row>
    <row r="147" spans="1:10">
      <c r="A147">
        <v>144</v>
      </c>
      <c r="B147" t="s">
        <v>314</v>
      </c>
      <c r="C147" s="11" t="s">
        <v>31</v>
      </c>
      <c r="D147" s="13">
        <v>187</v>
      </c>
      <c r="E147" s="14">
        <v>10265</v>
      </c>
      <c r="F147" t="s">
        <v>315</v>
      </c>
      <c r="G147" t="s">
        <v>24</v>
      </c>
      <c r="H147" t="s">
        <v>53</v>
      </c>
      <c r="I147">
        <v>3</v>
      </c>
      <c r="J147" t="s">
        <v>43</v>
      </c>
    </row>
    <row r="148" spans="1:10">
      <c r="A148">
        <v>145</v>
      </c>
      <c r="B148" t="s">
        <v>316</v>
      </c>
      <c r="C148" s="11" t="s">
        <v>31</v>
      </c>
      <c r="D148" s="13">
        <v>189</v>
      </c>
      <c r="E148" s="14">
        <v>10504</v>
      </c>
      <c r="F148" t="s">
        <v>317</v>
      </c>
      <c r="G148" t="s">
        <v>24</v>
      </c>
      <c r="H148" t="s">
        <v>53</v>
      </c>
      <c r="I148">
        <v>3</v>
      </c>
      <c r="J148" t="s">
        <v>46</v>
      </c>
    </row>
    <row r="149" spans="1:10">
      <c r="A149">
        <v>146</v>
      </c>
      <c r="B149" t="s">
        <v>318</v>
      </c>
      <c r="C149" s="11" t="s">
        <v>31</v>
      </c>
      <c r="D149" s="13">
        <v>191</v>
      </c>
      <c r="E149" s="14">
        <v>10748</v>
      </c>
      <c r="F149" t="s">
        <v>319</v>
      </c>
      <c r="G149" t="s">
        <v>24</v>
      </c>
      <c r="H149" t="s">
        <v>53</v>
      </c>
      <c r="I149">
        <v>3</v>
      </c>
      <c r="J149" t="s">
        <v>29</v>
      </c>
    </row>
    <row r="150" spans="1:10">
      <c r="A150">
        <v>147</v>
      </c>
      <c r="B150" t="s">
        <v>320</v>
      </c>
      <c r="C150" s="11" t="s">
        <v>31</v>
      </c>
      <c r="D150" s="13">
        <v>193</v>
      </c>
      <c r="E150" s="14">
        <v>10997</v>
      </c>
      <c r="F150" t="s">
        <v>321</v>
      </c>
      <c r="G150" t="s">
        <v>24</v>
      </c>
      <c r="H150" t="s">
        <v>53</v>
      </c>
      <c r="I150">
        <v>3</v>
      </c>
      <c r="J150" t="s">
        <v>34</v>
      </c>
    </row>
    <row r="151" spans="1:10">
      <c r="A151">
        <v>148</v>
      </c>
      <c r="B151" t="s">
        <v>322</v>
      </c>
      <c r="C151" s="11" t="s">
        <v>31</v>
      </c>
      <c r="D151" s="13">
        <v>195</v>
      </c>
      <c r="E151" s="14">
        <v>11252</v>
      </c>
      <c r="F151" t="s">
        <v>323</v>
      </c>
      <c r="G151" t="s">
        <v>24</v>
      </c>
      <c r="H151" t="s">
        <v>53</v>
      </c>
      <c r="I151">
        <v>3</v>
      </c>
      <c r="J151" t="s">
        <v>37</v>
      </c>
    </row>
    <row r="152" spans="1:10">
      <c r="A152">
        <v>149</v>
      </c>
      <c r="B152" t="s">
        <v>324</v>
      </c>
      <c r="C152" s="11" t="s">
        <v>31</v>
      </c>
      <c r="D152" s="13">
        <v>197</v>
      </c>
      <c r="E152" s="14">
        <v>11512</v>
      </c>
      <c r="F152" t="s">
        <v>325</v>
      </c>
      <c r="G152" t="s">
        <v>24</v>
      </c>
      <c r="H152" t="s">
        <v>53</v>
      </c>
      <c r="I152">
        <v>3</v>
      </c>
      <c r="J152" t="s">
        <v>40</v>
      </c>
    </row>
    <row r="153" spans="1:10">
      <c r="A153">
        <v>150</v>
      </c>
      <c r="B153" t="s">
        <v>326</v>
      </c>
      <c r="C153" s="11" t="s">
        <v>31</v>
      </c>
      <c r="D153" s="13">
        <v>199</v>
      </c>
      <c r="E153" s="14">
        <v>11778</v>
      </c>
      <c r="F153" t="s">
        <v>327</v>
      </c>
      <c r="G153" t="s">
        <v>24</v>
      </c>
      <c r="H153" t="s">
        <v>53</v>
      </c>
      <c r="I153">
        <v>3</v>
      </c>
      <c r="J153" t="s">
        <v>43</v>
      </c>
    </row>
    <row r="154" spans="1:10">
      <c r="A154">
        <v>151</v>
      </c>
      <c r="B154" t="s">
        <v>328</v>
      </c>
      <c r="C154" s="11" t="s">
        <v>31</v>
      </c>
      <c r="D154" s="13">
        <v>201</v>
      </c>
      <c r="E154" s="14">
        <v>12050</v>
      </c>
      <c r="F154" t="s">
        <v>329</v>
      </c>
      <c r="G154" t="s">
        <v>24</v>
      </c>
      <c r="H154" t="s">
        <v>53</v>
      </c>
      <c r="I154">
        <v>3</v>
      </c>
      <c r="J154" t="s">
        <v>46</v>
      </c>
    </row>
    <row r="155" spans="1:10">
      <c r="A155">
        <v>152</v>
      </c>
      <c r="B155" t="s">
        <v>330</v>
      </c>
      <c r="C155" s="11" t="s">
        <v>31</v>
      </c>
      <c r="D155" s="13">
        <v>203</v>
      </c>
      <c r="E155" s="14">
        <v>12328</v>
      </c>
      <c r="F155" t="s">
        <v>331</v>
      </c>
      <c r="G155" t="s">
        <v>24</v>
      </c>
      <c r="H155" t="s">
        <v>53</v>
      </c>
      <c r="I155">
        <v>3</v>
      </c>
      <c r="J155" t="s">
        <v>29</v>
      </c>
    </row>
    <row r="156" spans="1:10">
      <c r="A156">
        <v>153</v>
      </c>
      <c r="B156" t="s">
        <v>332</v>
      </c>
      <c r="C156" s="11" t="s">
        <v>31</v>
      </c>
      <c r="D156" s="13">
        <v>205</v>
      </c>
      <c r="E156" s="14">
        <v>12612</v>
      </c>
      <c r="F156" t="s">
        <v>333</v>
      </c>
      <c r="G156" t="s">
        <v>24</v>
      </c>
      <c r="H156" t="s">
        <v>53</v>
      </c>
      <c r="I156">
        <v>3</v>
      </c>
      <c r="J156" t="s">
        <v>34</v>
      </c>
    </row>
    <row r="157" spans="1:10">
      <c r="A157">
        <v>154</v>
      </c>
      <c r="B157" t="s">
        <v>334</v>
      </c>
      <c r="C157" s="11" t="s">
        <v>31</v>
      </c>
      <c r="D157" s="13">
        <v>207</v>
      </c>
      <c r="E157" s="14">
        <v>12902</v>
      </c>
      <c r="F157" t="s">
        <v>335</v>
      </c>
      <c r="G157" t="s">
        <v>24</v>
      </c>
      <c r="H157" t="s">
        <v>53</v>
      </c>
      <c r="I157">
        <v>3</v>
      </c>
      <c r="J157" t="s">
        <v>37</v>
      </c>
    </row>
    <row r="158" spans="1:10">
      <c r="A158">
        <v>155</v>
      </c>
      <c r="B158" t="s">
        <v>336</v>
      </c>
      <c r="C158" s="11" t="s">
        <v>31</v>
      </c>
      <c r="D158" s="13">
        <v>209</v>
      </c>
      <c r="E158" s="14">
        <v>13199</v>
      </c>
      <c r="F158" t="s">
        <v>337</v>
      </c>
      <c r="G158" t="s">
        <v>24</v>
      </c>
      <c r="H158" t="s">
        <v>53</v>
      </c>
      <c r="I158">
        <v>3</v>
      </c>
      <c r="J158" t="s">
        <v>40</v>
      </c>
    </row>
    <row r="159" spans="1:10">
      <c r="A159">
        <v>156</v>
      </c>
      <c r="B159" t="s">
        <v>338</v>
      </c>
      <c r="C159" s="11" t="s">
        <v>31</v>
      </c>
      <c r="D159" s="13">
        <v>211</v>
      </c>
      <c r="E159" s="14">
        <v>13502</v>
      </c>
      <c r="F159" t="s">
        <v>339</v>
      </c>
      <c r="G159" t="s">
        <v>24</v>
      </c>
      <c r="H159" t="s">
        <v>53</v>
      </c>
      <c r="I159">
        <v>3</v>
      </c>
      <c r="J159" t="s">
        <v>43</v>
      </c>
    </row>
    <row r="160" spans="1:10">
      <c r="A160">
        <v>157</v>
      </c>
      <c r="B160" t="s">
        <v>340</v>
      </c>
      <c r="C160" s="11" t="s">
        <v>31</v>
      </c>
      <c r="D160" s="13">
        <v>213</v>
      </c>
      <c r="E160" s="14">
        <v>13812</v>
      </c>
      <c r="F160" t="s">
        <v>341</v>
      </c>
      <c r="G160" t="s">
        <v>24</v>
      </c>
      <c r="H160" t="s">
        <v>53</v>
      </c>
      <c r="I160">
        <v>3</v>
      </c>
      <c r="J160" t="s">
        <v>46</v>
      </c>
    </row>
    <row r="161" spans="1:10">
      <c r="A161">
        <v>158</v>
      </c>
      <c r="B161" t="s">
        <v>342</v>
      </c>
      <c r="C161" s="11" t="s">
        <v>31</v>
      </c>
      <c r="D161" s="13">
        <v>215</v>
      </c>
      <c r="E161" s="14">
        <v>14129</v>
      </c>
      <c r="F161" t="s">
        <v>343</v>
      </c>
      <c r="G161" t="s">
        <v>24</v>
      </c>
      <c r="H161" t="s">
        <v>53</v>
      </c>
      <c r="I161">
        <v>3</v>
      </c>
      <c r="J161" t="s">
        <v>29</v>
      </c>
    </row>
    <row r="162" spans="1:10">
      <c r="A162">
        <v>159</v>
      </c>
      <c r="B162" t="s">
        <v>344</v>
      </c>
      <c r="C162" s="11" t="s">
        <v>31</v>
      </c>
      <c r="D162" s="13">
        <v>217</v>
      </c>
      <c r="E162" s="14">
        <v>14453</v>
      </c>
      <c r="F162" t="s">
        <v>345</v>
      </c>
      <c r="G162" t="s">
        <v>24</v>
      </c>
      <c r="H162" t="s">
        <v>53</v>
      </c>
      <c r="I162">
        <v>3</v>
      </c>
      <c r="J162" t="s">
        <v>34</v>
      </c>
    </row>
    <row r="163" spans="1:10">
      <c r="A163">
        <v>160</v>
      </c>
      <c r="B163" t="s">
        <v>346</v>
      </c>
      <c r="C163" s="11" t="s">
        <v>31</v>
      </c>
      <c r="D163" s="13">
        <v>219</v>
      </c>
      <c r="E163" s="14">
        <v>14784</v>
      </c>
      <c r="F163" t="s">
        <v>347</v>
      </c>
      <c r="G163" t="s">
        <v>24</v>
      </c>
      <c r="H163" t="s">
        <v>53</v>
      </c>
      <c r="I163">
        <v>3</v>
      </c>
      <c r="J163" t="s">
        <v>37</v>
      </c>
    </row>
    <row r="164" spans="1:10">
      <c r="A164">
        <v>161</v>
      </c>
      <c r="B164" t="s">
        <v>348</v>
      </c>
      <c r="C164" s="11" t="s">
        <v>31</v>
      </c>
      <c r="D164" s="13">
        <v>221</v>
      </c>
      <c r="E164" s="14">
        <v>15122</v>
      </c>
      <c r="F164" t="s">
        <v>349</v>
      </c>
      <c r="G164" t="s">
        <v>24</v>
      </c>
      <c r="H164" t="s">
        <v>53</v>
      </c>
      <c r="I164">
        <v>3</v>
      </c>
      <c r="J164" t="s">
        <v>40</v>
      </c>
    </row>
    <row r="165" spans="1:10">
      <c r="A165">
        <v>162</v>
      </c>
      <c r="B165" t="s">
        <v>350</v>
      </c>
      <c r="C165" s="11" t="s">
        <v>31</v>
      </c>
      <c r="D165" s="13">
        <v>223</v>
      </c>
      <c r="E165" s="14">
        <v>15467</v>
      </c>
      <c r="F165" t="s">
        <v>351</v>
      </c>
      <c r="G165" t="s">
        <v>24</v>
      </c>
      <c r="H165" t="s">
        <v>53</v>
      </c>
      <c r="I165">
        <v>3</v>
      </c>
      <c r="J165" t="s">
        <v>43</v>
      </c>
    </row>
    <row r="166" spans="1:10">
      <c r="A166">
        <v>163</v>
      </c>
      <c r="B166" t="s">
        <v>352</v>
      </c>
      <c r="C166" s="11" t="s">
        <v>31</v>
      </c>
      <c r="D166" s="13">
        <v>225</v>
      </c>
      <c r="E166" s="14">
        <v>15820</v>
      </c>
      <c r="F166" t="s">
        <v>353</v>
      </c>
      <c r="G166" t="s">
        <v>24</v>
      </c>
      <c r="H166" t="s">
        <v>53</v>
      </c>
      <c r="I166">
        <v>3</v>
      </c>
      <c r="J166" t="s">
        <v>46</v>
      </c>
    </row>
    <row r="167" spans="1:10">
      <c r="A167">
        <v>164</v>
      </c>
      <c r="B167" t="s">
        <v>354</v>
      </c>
      <c r="C167" s="11" t="s">
        <v>31</v>
      </c>
      <c r="D167" s="13">
        <v>227</v>
      </c>
      <c r="E167" s="14">
        <v>16181</v>
      </c>
      <c r="F167" t="s">
        <v>355</v>
      </c>
      <c r="G167" t="s">
        <v>24</v>
      </c>
      <c r="H167" t="s">
        <v>53</v>
      </c>
      <c r="I167">
        <v>3</v>
      </c>
      <c r="J167" t="s">
        <v>29</v>
      </c>
    </row>
    <row r="168" spans="1:10">
      <c r="A168">
        <v>165</v>
      </c>
      <c r="B168" t="s">
        <v>356</v>
      </c>
      <c r="C168" s="11" t="s">
        <v>31</v>
      </c>
      <c r="D168" s="13">
        <v>229</v>
      </c>
      <c r="E168" s="14">
        <v>16550</v>
      </c>
      <c r="F168" t="s">
        <v>357</v>
      </c>
      <c r="G168" t="s">
        <v>24</v>
      </c>
      <c r="H168" t="s">
        <v>53</v>
      </c>
      <c r="I168">
        <v>3</v>
      </c>
      <c r="J168" t="s">
        <v>34</v>
      </c>
    </row>
    <row r="169" spans="1:10">
      <c r="A169">
        <v>166</v>
      </c>
      <c r="B169" t="s">
        <v>358</v>
      </c>
      <c r="C169" s="11" t="s">
        <v>31</v>
      </c>
      <c r="D169" s="13">
        <v>231</v>
      </c>
      <c r="E169" s="14">
        <v>16927</v>
      </c>
      <c r="F169" t="s">
        <v>359</v>
      </c>
      <c r="G169" t="s">
        <v>24</v>
      </c>
      <c r="H169" t="s">
        <v>53</v>
      </c>
      <c r="I169">
        <v>3</v>
      </c>
      <c r="J169" t="s">
        <v>37</v>
      </c>
    </row>
    <row r="170" spans="1:10">
      <c r="A170">
        <v>167</v>
      </c>
      <c r="B170" t="s">
        <v>360</v>
      </c>
      <c r="C170" s="11" t="s">
        <v>31</v>
      </c>
      <c r="D170" s="13">
        <v>233</v>
      </c>
      <c r="E170" s="14">
        <v>17312</v>
      </c>
      <c r="F170" t="s">
        <v>361</v>
      </c>
      <c r="G170" t="s">
        <v>24</v>
      </c>
      <c r="H170" t="s">
        <v>53</v>
      </c>
      <c r="I170">
        <v>3</v>
      </c>
      <c r="J170" t="s">
        <v>40</v>
      </c>
    </row>
    <row r="171" spans="1:10">
      <c r="A171">
        <v>168</v>
      </c>
      <c r="B171" t="s">
        <v>362</v>
      </c>
      <c r="C171" s="11" t="s">
        <v>31</v>
      </c>
      <c r="D171" s="13">
        <v>235</v>
      </c>
      <c r="E171" s="14">
        <v>17706</v>
      </c>
      <c r="F171" t="s">
        <v>363</v>
      </c>
      <c r="G171" t="s">
        <v>24</v>
      </c>
      <c r="H171" t="s">
        <v>53</v>
      </c>
      <c r="I171">
        <v>3</v>
      </c>
      <c r="J171" t="s">
        <v>43</v>
      </c>
    </row>
    <row r="172" spans="1:10">
      <c r="A172">
        <v>169</v>
      </c>
      <c r="B172" t="s">
        <v>364</v>
      </c>
      <c r="C172" s="11" t="s">
        <v>31</v>
      </c>
      <c r="D172" s="13">
        <v>237</v>
      </c>
      <c r="E172" s="14">
        <v>18108</v>
      </c>
      <c r="F172" t="s">
        <v>365</v>
      </c>
      <c r="G172" t="s">
        <v>24</v>
      </c>
      <c r="H172" t="s">
        <v>53</v>
      </c>
      <c r="I172">
        <v>3</v>
      </c>
      <c r="J172" t="s">
        <v>46</v>
      </c>
    </row>
    <row r="173" spans="1:10">
      <c r="A173">
        <v>170</v>
      </c>
      <c r="B173" t="s">
        <v>366</v>
      </c>
      <c r="C173" s="11" t="s">
        <v>31</v>
      </c>
      <c r="D173" s="13">
        <v>239</v>
      </c>
      <c r="E173" s="14">
        <v>18519</v>
      </c>
      <c r="F173" t="s">
        <v>367</v>
      </c>
      <c r="G173" t="s">
        <v>24</v>
      </c>
      <c r="H173" t="s">
        <v>53</v>
      </c>
      <c r="I173">
        <v>3</v>
      </c>
      <c r="J173" t="s">
        <v>29</v>
      </c>
    </row>
    <row r="174" spans="1:10">
      <c r="A174">
        <v>171</v>
      </c>
      <c r="B174" t="s">
        <v>368</v>
      </c>
      <c r="C174" s="11" t="s">
        <v>31</v>
      </c>
      <c r="D174" s="13">
        <v>241</v>
      </c>
      <c r="E174" s="14">
        <v>18942</v>
      </c>
      <c r="F174" t="s">
        <v>369</v>
      </c>
      <c r="G174" t="s">
        <v>24</v>
      </c>
      <c r="H174" t="s">
        <v>53</v>
      </c>
      <c r="I174">
        <v>3</v>
      </c>
      <c r="J174" t="s">
        <v>34</v>
      </c>
    </row>
    <row r="175" spans="1:10">
      <c r="A175">
        <v>172</v>
      </c>
      <c r="B175" t="s">
        <v>370</v>
      </c>
      <c r="C175" s="11" t="s">
        <v>31</v>
      </c>
      <c r="D175" s="13">
        <v>243</v>
      </c>
      <c r="E175" s="14">
        <v>19375</v>
      </c>
      <c r="F175" t="s">
        <v>371</v>
      </c>
      <c r="G175" t="s">
        <v>24</v>
      </c>
      <c r="H175" t="s">
        <v>53</v>
      </c>
      <c r="I175">
        <v>3</v>
      </c>
      <c r="J175" t="s">
        <v>37</v>
      </c>
    </row>
    <row r="176" spans="1:10">
      <c r="A176">
        <v>173</v>
      </c>
      <c r="B176" t="s">
        <v>372</v>
      </c>
      <c r="C176" s="11" t="s">
        <v>31</v>
      </c>
      <c r="D176" s="13">
        <v>245</v>
      </c>
      <c r="E176" s="14">
        <v>19817</v>
      </c>
      <c r="F176" t="s">
        <v>373</v>
      </c>
      <c r="G176" t="s">
        <v>24</v>
      </c>
      <c r="H176" t="s">
        <v>53</v>
      </c>
      <c r="I176">
        <v>3</v>
      </c>
      <c r="J176" t="s">
        <v>40</v>
      </c>
    </row>
    <row r="177" spans="1:10">
      <c r="A177">
        <v>174</v>
      </c>
      <c r="B177" t="s">
        <v>374</v>
      </c>
      <c r="C177" s="11" t="s">
        <v>31</v>
      </c>
      <c r="D177" s="13">
        <v>247</v>
      </c>
      <c r="E177" s="14">
        <v>20269</v>
      </c>
      <c r="F177" t="s">
        <v>375</v>
      </c>
      <c r="G177" t="s">
        <v>24</v>
      </c>
      <c r="H177" t="s">
        <v>53</v>
      </c>
      <c r="I177">
        <v>3</v>
      </c>
      <c r="J177" t="s">
        <v>43</v>
      </c>
    </row>
    <row r="178" spans="1:10">
      <c r="A178">
        <v>175</v>
      </c>
      <c r="B178" t="s">
        <v>376</v>
      </c>
      <c r="C178" s="11" t="s">
        <v>31</v>
      </c>
      <c r="D178" s="13">
        <v>249</v>
      </c>
      <c r="E178" s="14">
        <v>20731</v>
      </c>
      <c r="F178" t="s">
        <v>377</v>
      </c>
      <c r="G178" t="s">
        <v>24</v>
      </c>
      <c r="H178" t="s">
        <v>53</v>
      </c>
      <c r="I178">
        <v>3</v>
      </c>
      <c r="J178" t="s">
        <v>46</v>
      </c>
    </row>
    <row r="179" spans="1:10">
      <c r="A179">
        <v>176</v>
      </c>
      <c r="B179" t="s">
        <v>378</v>
      </c>
      <c r="C179" s="11" t="s">
        <v>31</v>
      </c>
      <c r="D179" s="13">
        <v>251</v>
      </c>
      <c r="E179" s="14">
        <v>21203</v>
      </c>
      <c r="F179" t="s">
        <v>379</v>
      </c>
      <c r="G179" t="s">
        <v>24</v>
      </c>
      <c r="H179" t="s">
        <v>53</v>
      </c>
      <c r="I179">
        <v>3</v>
      </c>
      <c r="J179" t="s">
        <v>29</v>
      </c>
    </row>
    <row r="180" spans="1:10">
      <c r="A180">
        <v>177</v>
      </c>
      <c r="B180" t="s">
        <v>380</v>
      </c>
      <c r="C180" s="11" t="s">
        <v>31</v>
      </c>
      <c r="D180" s="13">
        <v>253</v>
      </c>
      <c r="E180" s="14">
        <v>21685</v>
      </c>
      <c r="F180" t="s">
        <v>381</v>
      </c>
      <c r="G180" t="s">
        <v>24</v>
      </c>
      <c r="H180" t="s">
        <v>53</v>
      </c>
      <c r="I180">
        <v>3</v>
      </c>
      <c r="J180" t="s">
        <v>34</v>
      </c>
    </row>
    <row r="181" spans="1:10">
      <c r="A181">
        <v>178</v>
      </c>
      <c r="B181" t="s">
        <v>382</v>
      </c>
      <c r="C181" s="11" t="s">
        <v>31</v>
      </c>
      <c r="D181" s="13">
        <v>255</v>
      </c>
      <c r="E181" s="14">
        <v>22178</v>
      </c>
      <c r="F181" t="s">
        <v>383</v>
      </c>
      <c r="G181" t="s">
        <v>24</v>
      </c>
      <c r="H181" t="s">
        <v>53</v>
      </c>
      <c r="I181">
        <v>3</v>
      </c>
      <c r="J181" t="s">
        <v>37</v>
      </c>
    </row>
    <row r="182" spans="1:10">
      <c r="A182">
        <v>179</v>
      </c>
      <c r="B182" t="s">
        <v>384</v>
      </c>
      <c r="C182" s="11" t="s">
        <v>31</v>
      </c>
      <c r="D182" s="13">
        <v>257</v>
      </c>
      <c r="E182" s="14">
        <v>22682</v>
      </c>
      <c r="F182" t="s">
        <v>385</v>
      </c>
      <c r="G182" t="s">
        <v>24</v>
      </c>
      <c r="H182" t="s">
        <v>53</v>
      </c>
      <c r="I182">
        <v>3</v>
      </c>
      <c r="J182" t="s">
        <v>40</v>
      </c>
    </row>
    <row r="183" spans="1:10">
      <c r="A183">
        <v>180</v>
      </c>
      <c r="B183" t="s">
        <v>386</v>
      </c>
      <c r="C183" s="11" t="s">
        <v>31</v>
      </c>
      <c r="D183" s="13">
        <v>259</v>
      </c>
      <c r="E183" s="14">
        <v>23197</v>
      </c>
      <c r="F183" t="s">
        <v>387</v>
      </c>
      <c r="G183" t="s">
        <v>24</v>
      </c>
      <c r="H183" t="s">
        <v>53</v>
      </c>
      <c r="I183">
        <v>3</v>
      </c>
      <c r="J183" t="s">
        <v>43</v>
      </c>
    </row>
    <row r="184" spans="1:10">
      <c r="A184">
        <v>181</v>
      </c>
      <c r="B184" t="s">
        <v>388</v>
      </c>
      <c r="C184" s="11" t="s">
        <v>31</v>
      </c>
      <c r="D184" s="13">
        <v>261</v>
      </c>
      <c r="E184" s="14">
        <v>23723</v>
      </c>
      <c r="F184" t="s">
        <v>389</v>
      </c>
      <c r="G184" t="s">
        <v>24</v>
      </c>
      <c r="H184" t="s">
        <v>53</v>
      </c>
      <c r="I184">
        <v>3</v>
      </c>
      <c r="J184" t="s">
        <v>46</v>
      </c>
    </row>
    <row r="185" spans="1:10">
      <c r="A185">
        <v>182</v>
      </c>
      <c r="B185" t="s">
        <v>390</v>
      </c>
      <c r="C185" s="11" t="s">
        <v>31</v>
      </c>
      <c r="D185" s="13">
        <v>263</v>
      </c>
      <c r="E185" s="14">
        <v>24261</v>
      </c>
      <c r="F185" t="s">
        <v>391</v>
      </c>
      <c r="G185" t="s">
        <v>24</v>
      </c>
      <c r="H185" t="s">
        <v>53</v>
      </c>
      <c r="I185">
        <v>3</v>
      </c>
      <c r="J185" t="s">
        <v>29</v>
      </c>
    </row>
    <row r="186" spans="1:10">
      <c r="A186">
        <v>183</v>
      </c>
      <c r="B186" t="s">
        <v>392</v>
      </c>
      <c r="C186" s="11" t="s">
        <v>31</v>
      </c>
      <c r="D186" s="13">
        <v>265</v>
      </c>
      <c r="E186" s="14">
        <v>24811</v>
      </c>
      <c r="F186" t="s">
        <v>393</v>
      </c>
      <c r="G186" t="s">
        <v>24</v>
      </c>
      <c r="H186" t="s">
        <v>53</v>
      </c>
      <c r="I186">
        <v>3</v>
      </c>
      <c r="J186" t="s">
        <v>34</v>
      </c>
    </row>
    <row r="187" spans="1:10">
      <c r="A187">
        <v>184</v>
      </c>
      <c r="B187" t="s">
        <v>394</v>
      </c>
      <c r="C187" s="11" t="s">
        <v>31</v>
      </c>
      <c r="D187" s="13">
        <v>267</v>
      </c>
      <c r="E187" s="14">
        <v>25373</v>
      </c>
      <c r="F187" t="s">
        <v>395</v>
      </c>
      <c r="G187" t="s">
        <v>24</v>
      </c>
      <c r="H187" t="s">
        <v>53</v>
      </c>
      <c r="I187">
        <v>3</v>
      </c>
      <c r="J187" t="s">
        <v>37</v>
      </c>
    </row>
    <row r="188" spans="1:10">
      <c r="A188">
        <v>185</v>
      </c>
      <c r="B188" t="s">
        <v>396</v>
      </c>
      <c r="C188" s="11" t="s">
        <v>31</v>
      </c>
      <c r="D188" s="13">
        <v>269</v>
      </c>
      <c r="E188" s="14">
        <v>25947</v>
      </c>
      <c r="F188" t="s">
        <v>397</v>
      </c>
      <c r="G188" t="s">
        <v>24</v>
      </c>
      <c r="H188" t="s">
        <v>53</v>
      </c>
      <c r="I188">
        <v>3</v>
      </c>
      <c r="J188" t="s">
        <v>40</v>
      </c>
    </row>
    <row r="189" spans="1:10">
      <c r="A189">
        <v>186</v>
      </c>
      <c r="B189" t="s">
        <v>398</v>
      </c>
      <c r="C189" s="11" t="s">
        <v>31</v>
      </c>
      <c r="D189" s="13">
        <v>271</v>
      </c>
      <c r="E189" s="14">
        <v>26534</v>
      </c>
      <c r="F189" t="s">
        <v>399</v>
      </c>
      <c r="G189" t="s">
        <v>24</v>
      </c>
      <c r="H189" t="s">
        <v>53</v>
      </c>
      <c r="I189">
        <v>3</v>
      </c>
      <c r="J189" t="s">
        <v>43</v>
      </c>
    </row>
    <row r="190" spans="1:10">
      <c r="A190">
        <v>187</v>
      </c>
      <c r="B190" t="s">
        <v>400</v>
      </c>
      <c r="C190" s="11" t="s">
        <v>31</v>
      </c>
      <c r="D190" s="13">
        <v>273</v>
      </c>
      <c r="E190" s="14">
        <v>27134</v>
      </c>
      <c r="F190" t="s">
        <v>401</v>
      </c>
      <c r="G190" t="s">
        <v>24</v>
      </c>
      <c r="H190" t="s">
        <v>53</v>
      </c>
      <c r="I190">
        <v>3</v>
      </c>
      <c r="J190" t="s">
        <v>46</v>
      </c>
    </row>
    <row r="191" spans="1:10">
      <c r="A191">
        <v>188</v>
      </c>
      <c r="B191" t="s">
        <v>402</v>
      </c>
      <c r="C191" s="11" t="s">
        <v>31</v>
      </c>
      <c r="D191" s="13">
        <v>275</v>
      </c>
      <c r="E191" s="14">
        <v>27747</v>
      </c>
      <c r="F191" t="s">
        <v>403</v>
      </c>
      <c r="G191" t="s">
        <v>24</v>
      </c>
      <c r="H191" t="s">
        <v>53</v>
      </c>
      <c r="I191">
        <v>3</v>
      </c>
      <c r="J191" t="s">
        <v>29</v>
      </c>
    </row>
    <row r="192" spans="1:10">
      <c r="A192">
        <v>189</v>
      </c>
      <c r="B192" t="s">
        <v>404</v>
      </c>
      <c r="C192" s="11" t="s">
        <v>31</v>
      </c>
      <c r="D192" s="13">
        <v>277</v>
      </c>
      <c r="E192" s="14">
        <v>28373</v>
      </c>
      <c r="F192" t="s">
        <v>405</v>
      </c>
      <c r="G192" t="s">
        <v>24</v>
      </c>
      <c r="H192" t="s">
        <v>53</v>
      </c>
      <c r="I192">
        <v>3</v>
      </c>
      <c r="J192" t="s">
        <v>34</v>
      </c>
    </row>
    <row r="193" spans="1:10">
      <c r="A193">
        <v>190</v>
      </c>
      <c r="B193" t="s">
        <v>406</v>
      </c>
      <c r="C193" s="11" t="s">
        <v>31</v>
      </c>
      <c r="D193" s="13">
        <v>279</v>
      </c>
      <c r="E193" s="14">
        <v>29013</v>
      </c>
      <c r="F193" t="s">
        <v>407</v>
      </c>
      <c r="G193" t="s">
        <v>24</v>
      </c>
      <c r="H193" t="s">
        <v>53</v>
      </c>
      <c r="I193">
        <v>3</v>
      </c>
      <c r="J193" t="s">
        <v>37</v>
      </c>
    </row>
    <row r="194" spans="1:10">
      <c r="A194">
        <v>191</v>
      </c>
      <c r="B194" t="s">
        <v>408</v>
      </c>
      <c r="C194" s="11" t="s">
        <v>31</v>
      </c>
      <c r="D194" s="13">
        <v>281</v>
      </c>
      <c r="E194" s="14">
        <v>29667</v>
      </c>
      <c r="F194" t="s">
        <v>409</v>
      </c>
      <c r="G194" t="s">
        <v>24</v>
      </c>
      <c r="H194" t="s">
        <v>53</v>
      </c>
      <c r="I194">
        <v>3</v>
      </c>
      <c r="J194" t="s">
        <v>40</v>
      </c>
    </row>
    <row r="195" spans="1:10">
      <c r="A195">
        <v>192</v>
      </c>
      <c r="B195" t="s">
        <v>410</v>
      </c>
      <c r="C195" s="11" t="s">
        <v>31</v>
      </c>
      <c r="D195" s="13">
        <v>283</v>
      </c>
      <c r="E195" s="14">
        <v>30336</v>
      </c>
      <c r="F195" t="s">
        <v>411</v>
      </c>
      <c r="G195" t="s">
        <v>24</v>
      </c>
      <c r="H195" t="s">
        <v>53</v>
      </c>
      <c r="I195">
        <v>3</v>
      </c>
      <c r="J195" t="s">
        <v>43</v>
      </c>
    </row>
    <row r="196" spans="1:10">
      <c r="A196">
        <v>193</v>
      </c>
      <c r="B196" t="s">
        <v>412</v>
      </c>
      <c r="C196" s="11" t="s">
        <v>31</v>
      </c>
      <c r="D196" s="13">
        <v>285</v>
      </c>
      <c r="E196" s="14">
        <v>31019</v>
      </c>
      <c r="F196" t="s">
        <v>413</v>
      </c>
      <c r="G196" t="s">
        <v>24</v>
      </c>
      <c r="H196" t="s">
        <v>53</v>
      </c>
      <c r="I196">
        <v>3</v>
      </c>
      <c r="J196" t="s">
        <v>46</v>
      </c>
    </row>
    <row r="197" spans="1:10">
      <c r="A197">
        <v>194</v>
      </c>
      <c r="B197" t="s">
        <v>414</v>
      </c>
      <c r="C197" s="11" t="s">
        <v>31</v>
      </c>
      <c r="D197" s="13">
        <v>287</v>
      </c>
      <c r="E197" s="14">
        <v>31717</v>
      </c>
      <c r="F197" t="s">
        <v>415</v>
      </c>
      <c r="G197" t="s">
        <v>24</v>
      </c>
      <c r="H197" t="s">
        <v>53</v>
      </c>
      <c r="I197">
        <v>3</v>
      </c>
      <c r="J197" t="s">
        <v>29</v>
      </c>
    </row>
    <row r="198" spans="1:10">
      <c r="A198">
        <v>195</v>
      </c>
      <c r="B198" t="s">
        <v>416</v>
      </c>
      <c r="C198" s="11" t="s">
        <v>31</v>
      </c>
      <c r="D198" s="13">
        <v>289</v>
      </c>
      <c r="E198" s="14">
        <v>32431</v>
      </c>
      <c r="F198" t="s">
        <v>417</v>
      </c>
      <c r="G198" t="s">
        <v>24</v>
      </c>
      <c r="H198" t="s">
        <v>53</v>
      </c>
      <c r="I198">
        <v>3</v>
      </c>
      <c r="J198" t="s">
        <v>34</v>
      </c>
    </row>
    <row r="199" spans="1:10">
      <c r="A199">
        <v>196</v>
      </c>
      <c r="B199" t="s">
        <v>418</v>
      </c>
      <c r="C199" s="11" t="s">
        <v>31</v>
      </c>
      <c r="D199" s="13">
        <v>291</v>
      </c>
      <c r="E199" s="14">
        <v>33160</v>
      </c>
      <c r="F199" t="s">
        <v>419</v>
      </c>
      <c r="G199" t="s">
        <v>24</v>
      </c>
      <c r="H199" t="s">
        <v>53</v>
      </c>
      <c r="I199">
        <v>3</v>
      </c>
      <c r="J199" t="s">
        <v>37</v>
      </c>
    </row>
    <row r="200" spans="1:10">
      <c r="A200">
        <v>197</v>
      </c>
      <c r="B200" t="s">
        <v>186</v>
      </c>
      <c r="C200" s="11" t="s">
        <v>31</v>
      </c>
      <c r="D200" s="13">
        <v>293</v>
      </c>
      <c r="E200" s="14">
        <v>33905</v>
      </c>
      <c r="F200" t="s">
        <v>187</v>
      </c>
      <c r="G200" t="s">
        <v>24</v>
      </c>
      <c r="H200" t="s">
        <v>53</v>
      </c>
      <c r="I200">
        <v>3</v>
      </c>
      <c r="J200" t="s">
        <v>40</v>
      </c>
    </row>
    <row r="201" spans="1:10">
      <c r="A201">
        <v>198</v>
      </c>
      <c r="B201" t="s">
        <v>420</v>
      </c>
      <c r="C201" s="11" t="s">
        <v>31</v>
      </c>
      <c r="D201" s="13">
        <v>295</v>
      </c>
      <c r="E201" s="14">
        <v>34667</v>
      </c>
      <c r="F201" t="s">
        <v>421</v>
      </c>
      <c r="G201" t="s">
        <v>24</v>
      </c>
      <c r="H201" t="s">
        <v>53</v>
      </c>
      <c r="I201">
        <v>3</v>
      </c>
      <c r="J201" t="s">
        <v>43</v>
      </c>
    </row>
    <row r="202" spans="1:10">
      <c r="A202">
        <v>199</v>
      </c>
      <c r="B202" t="s">
        <v>422</v>
      </c>
      <c r="C202" s="11" t="s">
        <v>31</v>
      </c>
      <c r="D202" s="13">
        <v>297</v>
      </c>
      <c r="E202" s="14">
        <v>35446</v>
      </c>
      <c r="F202" t="s">
        <v>423</v>
      </c>
      <c r="G202" t="s">
        <v>24</v>
      </c>
      <c r="H202" t="s">
        <v>53</v>
      </c>
      <c r="I202">
        <v>3</v>
      </c>
      <c r="J202" t="s">
        <v>46</v>
      </c>
    </row>
    <row r="203" spans="1:10">
      <c r="A203">
        <v>200</v>
      </c>
      <c r="B203" t="s">
        <v>424</v>
      </c>
      <c r="C203" s="11" t="s">
        <v>31</v>
      </c>
      <c r="D203" s="13">
        <v>299</v>
      </c>
      <c r="E203" s="14">
        <v>36242</v>
      </c>
      <c r="F203" t="s">
        <v>425</v>
      </c>
      <c r="G203" t="s">
        <v>24</v>
      </c>
      <c r="H203" t="s">
        <v>53</v>
      </c>
      <c r="I203">
        <v>3</v>
      </c>
      <c r="J203" t="s">
        <v>29</v>
      </c>
    </row>
    <row r="204" spans="1:10">
      <c r="A204">
        <v>10001</v>
      </c>
      <c r="B204" t="s">
        <v>426</v>
      </c>
      <c r="D204">
        <v>0</v>
      </c>
      <c r="E204">
        <f>E8</f>
        <v>32</v>
      </c>
      <c r="F204" t="s">
        <v>427</v>
      </c>
      <c r="G204" t="s">
        <v>24</v>
      </c>
      <c r="H204" t="s">
        <v>53</v>
      </c>
      <c r="I204">
        <v>3</v>
      </c>
      <c r="J204" t="s">
        <v>34</v>
      </c>
    </row>
    <row r="205" spans="1:10">
      <c r="A205">
        <v>10002</v>
      </c>
      <c r="B205" t="s">
        <v>428</v>
      </c>
      <c r="D205">
        <v>20</v>
      </c>
      <c r="E205">
        <f>E13</f>
        <v>87</v>
      </c>
      <c r="F205" t="s">
        <v>429</v>
      </c>
      <c r="G205" t="s">
        <v>24</v>
      </c>
      <c r="H205" t="s">
        <v>53</v>
      </c>
      <c r="I205">
        <v>3</v>
      </c>
      <c r="J205" t="s">
        <v>37</v>
      </c>
    </row>
    <row r="206" spans="1:10">
      <c r="A206">
        <v>10003</v>
      </c>
      <c r="B206" t="s">
        <v>430</v>
      </c>
      <c r="D206">
        <v>40</v>
      </c>
      <c r="E206">
        <f>E18</f>
        <v>153</v>
      </c>
      <c r="F206" t="s">
        <v>431</v>
      </c>
      <c r="G206" t="s">
        <v>24</v>
      </c>
      <c r="H206" t="s">
        <v>53</v>
      </c>
      <c r="I206">
        <v>3</v>
      </c>
      <c r="J206" t="s">
        <v>40</v>
      </c>
    </row>
    <row r="207" spans="1:10">
      <c r="A207">
        <v>10004</v>
      </c>
      <c r="B207" t="s">
        <v>432</v>
      </c>
      <c r="D207">
        <v>60</v>
      </c>
      <c r="E207">
        <f>E23</f>
        <v>226</v>
      </c>
      <c r="F207" t="s">
        <v>433</v>
      </c>
      <c r="G207" t="s">
        <v>24</v>
      </c>
      <c r="H207" t="s">
        <v>53</v>
      </c>
      <c r="I207">
        <v>3</v>
      </c>
      <c r="J207" t="s">
        <v>43</v>
      </c>
    </row>
    <row r="208" spans="1:10">
      <c r="A208">
        <v>10005</v>
      </c>
      <c r="B208" t="s">
        <v>434</v>
      </c>
      <c r="D208">
        <v>80</v>
      </c>
      <c r="E208">
        <f>E28</f>
        <v>308</v>
      </c>
      <c r="F208" t="s">
        <v>435</v>
      </c>
      <c r="G208" t="s">
        <v>24</v>
      </c>
      <c r="H208" t="s">
        <v>53</v>
      </c>
      <c r="I208">
        <v>3</v>
      </c>
      <c r="J208" t="s">
        <v>46</v>
      </c>
    </row>
    <row r="209" spans="1:10">
      <c r="A209">
        <v>10006</v>
      </c>
      <c r="B209" t="s">
        <v>436</v>
      </c>
      <c r="D209">
        <v>100</v>
      </c>
      <c r="E209">
        <f>E33</f>
        <v>399</v>
      </c>
      <c r="F209" t="s">
        <v>437</v>
      </c>
      <c r="G209" t="s">
        <v>24</v>
      </c>
      <c r="H209" t="s">
        <v>53</v>
      </c>
      <c r="I209">
        <v>3</v>
      </c>
      <c r="J209" t="s">
        <v>29</v>
      </c>
    </row>
    <row r="210" spans="1:10">
      <c r="A210">
        <v>10007</v>
      </c>
      <c r="B210" t="s">
        <v>438</v>
      </c>
      <c r="D210">
        <v>120</v>
      </c>
      <c r="E210">
        <f>E38</f>
        <v>500</v>
      </c>
      <c r="F210" t="s">
        <v>439</v>
      </c>
      <c r="G210" t="s">
        <v>24</v>
      </c>
      <c r="H210" t="s">
        <v>53</v>
      </c>
      <c r="I210">
        <v>3</v>
      </c>
      <c r="J210" t="s">
        <v>34</v>
      </c>
    </row>
    <row r="211" spans="1:10">
      <c r="A211">
        <v>10008</v>
      </c>
      <c r="B211" t="s">
        <v>440</v>
      </c>
      <c r="D211">
        <v>140</v>
      </c>
      <c r="E211">
        <f>E45</f>
        <v>663</v>
      </c>
      <c r="F211" t="s">
        <v>441</v>
      </c>
      <c r="G211" t="s">
        <v>24</v>
      </c>
      <c r="H211" t="s">
        <v>53</v>
      </c>
      <c r="I211">
        <v>3</v>
      </c>
      <c r="J211" t="s">
        <v>37</v>
      </c>
    </row>
    <row r="212" spans="1:10">
      <c r="A212">
        <v>10009</v>
      </c>
      <c r="B212" t="s">
        <v>442</v>
      </c>
      <c r="D212">
        <v>160</v>
      </c>
      <c r="E212">
        <f>E60</f>
        <v>1106</v>
      </c>
      <c r="F212" t="s">
        <v>443</v>
      </c>
      <c r="G212" t="s">
        <v>24</v>
      </c>
      <c r="H212" t="s">
        <v>53</v>
      </c>
      <c r="I212">
        <v>3</v>
      </c>
      <c r="J212" t="s">
        <v>40</v>
      </c>
    </row>
    <row r="213" spans="1:10">
      <c r="A213">
        <v>10010</v>
      </c>
      <c r="B213" t="s">
        <v>440</v>
      </c>
      <c r="D213">
        <v>180</v>
      </c>
      <c r="E213">
        <f>E80</f>
        <v>1979</v>
      </c>
      <c r="F213" t="s">
        <v>441</v>
      </c>
      <c r="G213" t="s">
        <v>24</v>
      </c>
      <c r="H213" t="s">
        <v>53</v>
      </c>
      <c r="I213">
        <v>3</v>
      </c>
      <c r="J213" t="s">
        <v>43</v>
      </c>
    </row>
    <row r="214" spans="1:10">
      <c r="A214">
        <v>20001</v>
      </c>
      <c r="B214" t="s">
        <v>316</v>
      </c>
      <c r="D214">
        <v>0</v>
      </c>
      <c r="E214">
        <f>E10</f>
        <v>51</v>
      </c>
      <c r="F214" t="s">
        <v>317</v>
      </c>
      <c r="G214" t="s">
        <v>24</v>
      </c>
      <c r="H214" t="s">
        <v>53</v>
      </c>
      <c r="I214">
        <v>3</v>
      </c>
      <c r="J214" t="s">
        <v>46</v>
      </c>
    </row>
    <row r="215" spans="1:10">
      <c r="A215">
        <v>20002</v>
      </c>
      <c r="B215" t="s">
        <v>318</v>
      </c>
      <c r="D215">
        <v>20</v>
      </c>
      <c r="E215">
        <f>E15</f>
        <v>113</v>
      </c>
      <c r="F215" t="s">
        <v>319</v>
      </c>
      <c r="G215" t="s">
        <v>24</v>
      </c>
      <c r="H215" t="s">
        <v>53</v>
      </c>
      <c r="I215">
        <v>3</v>
      </c>
      <c r="J215" t="s">
        <v>29</v>
      </c>
    </row>
    <row r="216" spans="1:10">
      <c r="A216">
        <v>20003</v>
      </c>
      <c r="B216" t="s">
        <v>320</v>
      </c>
      <c r="D216">
        <v>40</v>
      </c>
      <c r="E216">
        <f>E25</f>
        <v>258</v>
      </c>
      <c r="F216" t="s">
        <v>321</v>
      </c>
      <c r="G216" t="s">
        <v>24</v>
      </c>
      <c r="H216" t="s">
        <v>53</v>
      </c>
      <c r="I216">
        <v>3</v>
      </c>
      <c r="J216" t="s">
        <v>34</v>
      </c>
    </row>
    <row r="217" spans="1:10">
      <c r="A217">
        <v>20004</v>
      </c>
      <c r="B217" t="s">
        <v>322</v>
      </c>
      <c r="D217">
        <v>60</v>
      </c>
      <c r="E217">
        <f>E33</f>
        <v>399</v>
      </c>
      <c r="F217" t="s">
        <v>323</v>
      </c>
      <c r="G217" t="s">
        <v>24</v>
      </c>
      <c r="H217" t="s">
        <v>53</v>
      </c>
      <c r="I217">
        <v>3</v>
      </c>
      <c r="J217" t="s">
        <v>37</v>
      </c>
    </row>
    <row r="218" spans="1:10">
      <c r="A218">
        <v>20005</v>
      </c>
      <c r="B218" t="s">
        <v>444</v>
      </c>
      <c r="D218">
        <v>80</v>
      </c>
      <c r="E218">
        <f>E38</f>
        <v>500</v>
      </c>
      <c r="F218" t="s">
        <v>445</v>
      </c>
      <c r="G218" t="s">
        <v>24</v>
      </c>
      <c r="H218" t="s">
        <v>53</v>
      </c>
      <c r="I218">
        <v>3</v>
      </c>
      <c r="J218" t="s">
        <v>40</v>
      </c>
    </row>
    <row r="219" spans="1:10">
      <c r="A219">
        <v>20006</v>
      </c>
      <c r="B219" t="s">
        <v>326</v>
      </c>
      <c r="D219">
        <v>100</v>
      </c>
      <c r="E219">
        <f>E43</f>
        <v>614</v>
      </c>
      <c r="F219" t="s">
        <v>327</v>
      </c>
      <c r="G219" t="s">
        <v>24</v>
      </c>
      <c r="H219" t="s">
        <v>53</v>
      </c>
      <c r="I219">
        <v>3</v>
      </c>
      <c r="J219" t="s">
        <v>43</v>
      </c>
    </row>
    <row r="220" spans="1:10">
      <c r="A220">
        <v>20007</v>
      </c>
      <c r="B220" t="s">
        <v>328</v>
      </c>
      <c r="D220">
        <v>120</v>
      </c>
      <c r="E220">
        <f>E48</f>
        <v>740</v>
      </c>
      <c r="F220" t="s">
        <v>329</v>
      </c>
      <c r="G220" t="s">
        <v>24</v>
      </c>
      <c r="H220" t="s">
        <v>53</v>
      </c>
      <c r="I220">
        <v>3</v>
      </c>
      <c r="J220" t="s">
        <v>46</v>
      </c>
    </row>
    <row r="221" spans="1:10">
      <c r="A221">
        <v>20008</v>
      </c>
      <c r="B221" t="s">
        <v>330</v>
      </c>
      <c r="D221">
        <v>140</v>
      </c>
      <c r="E221">
        <f>E55</f>
        <v>942</v>
      </c>
      <c r="F221" t="s">
        <v>331</v>
      </c>
      <c r="G221" t="s">
        <v>24</v>
      </c>
      <c r="H221" t="s">
        <v>53</v>
      </c>
      <c r="I221">
        <v>3</v>
      </c>
      <c r="J221" t="s">
        <v>29</v>
      </c>
    </row>
    <row r="222" spans="1:10">
      <c r="A222">
        <v>20009</v>
      </c>
      <c r="B222" t="s">
        <v>446</v>
      </c>
      <c r="D222">
        <v>160</v>
      </c>
      <c r="E222">
        <f>E70</f>
        <v>1494</v>
      </c>
      <c r="F222" t="s">
        <v>447</v>
      </c>
      <c r="G222" t="s">
        <v>24</v>
      </c>
      <c r="H222" t="s">
        <v>53</v>
      </c>
      <c r="I222">
        <v>3</v>
      </c>
      <c r="J222" t="s">
        <v>34</v>
      </c>
    </row>
    <row r="223" spans="1:10">
      <c r="A223">
        <v>20010</v>
      </c>
      <c r="B223" t="s">
        <v>448</v>
      </c>
      <c r="D223">
        <v>180</v>
      </c>
      <c r="E223">
        <f>E90</f>
        <v>2578</v>
      </c>
      <c r="F223" t="s">
        <v>449</v>
      </c>
      <c r="G223" t="s">
        <v>24</v>
      </c>
      <c r="H223" t="s">
        <v>53</v>
      </c>
      <c r="I223">
        <v>3</v>
      </c>
      <c r="J223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workbookViewId="0">
      <selection activeCell="G24" sqref="G24"/>
    </sheetView>
  </sheetViews>
  <sheetFormatPr defaultColWidth="9" defaultRowHeight="13.5"/>
  <cols>
    <col min="1" max="1" width="16.275" customWidth="1"/>
    <col min="10" max="11" width="11.8166666666667" customWidth="1"/>
    <col min="13" max="13" width="14.875"/>
    <col min="14" max="14" width="18.25" customWidth="1"/>
    <col min="15" max="16" width="18.5416666666667" customWidth="1"/>
  </cols>
  <sheetData>
    <row r="1" spans="1:17">
      <c r="A1" t="s">
        <v>450</v>
      </c>
      <c r="P1" t="s">
        <v>451</v>
      </c>
      <c r="Q1" t="s">
        <v>452</v>
      </c>
    </row>
    <row r="2" spans="1:17">
      <c r="A2" t="s">
        <v>453</v>
      </c>
      <c r="B2" t="s">
        <v>454</v>
      </c>
      <c r="C2" t="s">
        <v>455</v>
      </c>
      <c r="D2" t="s">
        <v>456</v>
      </c>
      <c r="E2" t="s">
        <v>457</v>
      </c>
      <c r="F2" t="s">
        <v>458</v>
      </c>
      <c r="G2" t="s">
        <v>459</v>
      </c>
      <c r="H2" t="s">
        <v>460</v>
      </c>
      <c r="I2" t="s">
        <v>461</v>
      </c>
      <c r="J2" t="s">
        <v>462</v>
      </c>
      <c r="K2" t="s">
        <v>463</v>
      </c>
      <c r="L2" t="s">
        <v>464</v>
      </c>
      <c r="M2" t="s">
        <v>465</v>
      </c>
      <c r="N2" t="s">
        <v>466</v>
      </c>
      <c r="O2" t="s">
        <v>467</v>
      </c>
      <c r="P2" t="s">
        <v>468</v>
      </c>
    </row>
    <row r="3" spans="1:17">
      <c r="A3">
        <v>1</v>
      </c>
      <c r="B3">
        <v>1</v>
      </c>
      <c r="C3">
        <v>101</v>
      </c>
      <c r="F3" t="str">
        <f>IF(C3="","",C3)&amp;IF(D3="","","+"&amp;D3)&amp;IF(E3="","","+"&amp;E3)</f>
        <v>101</v>
      </c>
      <c r="G3">
        <v>4</v>
      </c>
      <c r="J3">
        <f>SUM(G3:I3)</f>
        <v>4</v>
      </c>
      <c r="K3" t="str">
        <f>_xlfn.TEXTJOIN("+",TRUE,G3:I3)</f>
        <v>4</v>
      </c>
      <c r="L3" s="7">
        <v>1.5</v>
      </c>
      <c r="M3" s="8">
        <f>5+J3/(N3+O3)*2*L3</f>
        <v>11</v>
      </c>
      <c r="N3">
        <v>1</v>
      </c>
      <c r="O3">
        <v>1</v>
      </c>
      <c r="P3" t="str">
        <f>F3&amp;$P$1&amp;K3&amp;$P$1&amp;L3&amp;$P$1&amp;N3&amp;$P$1&amp;O3&amp;$Q$1</f>
        <v>101,4,1.5,1,1;</v>
      </c>
    </row>
    <row r="4" spans="1:17">
      <c r="A4">
        <v>1</v>
      </c>
      <c r="B4">
        <v>2</v>
      </c>
      <c r="C4">
        <v>101</v>
      </c>
      <c r="F4" t="str">
        <f t="shared" ref="F3:F22" si="0">IF(C4="","",C4)&amp;IF(D4="","","+"&amp;D4)&amp;IF(E4="","","+"&amp;E4)</f>
        <v>101</v>
      </c>
      <c r="G4">
        <v>6</v>
      </c>
      <c r="J4">
        <f t="shared" ref="J4:J22" si="1">SUM(G4:I4)</f>
        <v>6</v>
      </c>
      <c r="K4" t="str">
        <f t="shared" ref="K4:K22" si="2">_xlfn.TEXTJOIN("+",TRUE,G4:I4)</f>
        <v>6</v>
      </c>
      <c r="L4" s="7">
        <v>1.2</v>
      </c>
      <c r="M4" s="8">
        <f t="shared" ref="M4:M22" si="3">5+J4/(N4+O4)*2*L4</f>
        <v>12.2</v>
      </c>
      <c r="N4">
        <v>1</v>
      </c>
      <c r="O4">
        <v>1</v>
      </c>
      <c r="P4" t="str">
        <f t="shared" ref="P4:P22" si="4">F4&amp;$P$1&amp;K4&amp;$P$1&amp;L4&amp;$P$1&amp;N4&amp;$P$1&amp;O4&amp;$Q$1</f>
        <v>101,6,1.2,1,1;</v>
      </c>
    </row>
    <row r="5" spans="1:17">
      <c r="A5">
        <v>1</v>
      </c>
      <c r="B5">
        <v>3</v>
      </c>
      <c r="C5">
        <v>101</v>
      </c>
      <c r="F5" t="str">
        <f t="shared" si="0"/>
        <v>101</v>
      </c>
      <c r="G5">
        <v>8</v>
      </c>
      <c r="J5">
        <f t="shared" si="1"/>
        <v>8</v>
      </c>
      <c r="K5" t="str">
        <f t="shared" si="2"/>
        <v>8</v>
      </c>
      <c r="L5" s="7">
        <v>1.2</v>
      </c>
      <c r="M5" s="8">
        <f t="shared" si="3"/>
        <v>14.6</v>
      </c>
      <c r="N5">
        <v>1</v>
      </c>
      <c r="O5">
        <v>1</v>
      </c>
      <c r="P5" t="str">
        <f t="shared" si="4"/>
        <v>101,8,1.2,1,1;</v>
      </c>
    </row>
    <row r="6" spans="1:17">
      <c r="A6">
        <v>1</v>
      </c>
      <c r="B6">
        <v>4</v>
      </c>
      <c r="C6">
        <v>101</v>
      </c>
      <c r="F6" t="str">
        <f t="shared" si="0"/>
        <v>101</v>
      </c>
      <c r="G6">
        <v>10</v>
      </c>
      <c r="J6">
        <f t="shared" si="1"/>
        <v>10</v>
      </c>
      <c r="K6" t="str">
        <f t="shared" si="2"/>
        <v>10</v>
      </c>
      <c r="L6" s="7">
        <v>1.1</v>
      </c>
      <c r="M6" s="8">
        <f t="shared" si="3"/>
        <v>12.3333333333333</v>
      </c>
      <c r="N6">
        <v>1</v>
      </c>
      <c r="O6">
        <v>2</v>
      </c>
      <c r="P6" t="str">
        <f t="shared" si="4"/>
        <v>101,10,1.1,1,2;</v>
      </c>
    </row>
    <row r="7" spans="1:17">
      <c r="A7">
        <v>1</v>
      </c>
      <c r="B7">
        <v>5</v>
      </c>
      <c r="C7">
        <v>101</v>
      </c>
      <c r="F7" t="str">
        <f t="shared" si="0"/>
        <v>101</v>
      </c>
      <c r="G7">
        <v>12</v>
      </c>
      <c r="J7">
        <f t="shared" si="1"/>
        <v>12</v>
      </c>
      <c r="K7" t="str">
        <f t="shared" si="2"/>
        <v>12</v>
      </c>
      <c r="L7" s="7">
        <v>1.1</v>
      </c>
      <c r="M7" s="8">
        <f t="shared" si="3"/>
        <v>13.8</v>
      </c>
      <c r="N7">
        <v>1</v>
      </c>
      <c r="O7">
        <v>2</v>
      </c>
      <c r="P7" t="str">
        <f t="shared" si="4"/>
        <v>101,12,1.1,1,2;</v>
      </c>
    </row>
    <row r="8" spans="1:17">
      <c r="A8">
        <v>1</v>
      </c>
      <c r="B8">
        <v>6</v>
      </c>
      <c r="C8">
        <v>101</v>
      </c>
      <c r="D8">
        <v>102</v>
      </c>
      <c r="F8" t="str">
        <f t="shared" si="0"/>
        <v>101+102</v>
      </c>
      <c r="G8">
        <v>14</v>
      </c>
      <c r="J8">
        <f t="shared" si="1"/>
        <v>14</v>
      </c>
      <c r="K8" t="str">
        <f t="shared" si="2"/>
        <v>14</v>
      </c>
      <c r="L8" s="7">
        <v>1</v>
      </c>
      <c r="M8" s="8">
        <f t="shared" si="3"/>
        <v>14.3333333333333</v>
      </c>
      <c r="N8">
        <v>1</v>
      </c>
      <c r="O8">
        <v>2</v>
      </c>
      <c r="P8" t="str">
        <f t="shared" si="4"/>
        <v>101+102,14,1,1,2;</v>
      </c>
    </row>
    <row r="9" spans="1:17">
      <c r="A9">
        <v>1</v>
      </c>
      <c r="B9">
        <v>7</v>
      </c>
      <c r="C9">
        <v>101</v>
      </c>
      <c r="D9">
        <v>102</v>
      </c>
      <c r="F9" t="str">
        <f t="shared" si="0"/>
        <v>101+102</v>
      </c>
      <c r="G9">
        <v>15</v>
      </c>
      <c r="H9">
        <v>8</v>
      </c>
      <c r="J9">
        <f t="shared" si="1"/>
        <v>23</v>
      </c>
      <c r="K9" t="str">
        <f t="shared" si="2"/>
        <v>15+8</v>
      </c>
      <c r="L9" s="7">
        <v>1</v>
      </c>
      <c r="M9" s="8">
        <f t="shared" si="3"/>
        <v>14.2</v>
      </c>
      <c r="N9">
        <v>2</v>
      </c>
      <c r="O9">
        <v>3</v>
      </c>
      <c r="P9" t="str">
        <f t="shared" si="4"/>
        <v>101+102,15+8,1,2,3;</v>
      </c>
    </row>
    <row r="10" spans="1:17">
      <c r="A10">
        <v>1</v>
      </c>
      <c r="B10">
        <v>8</v>
      </c>
      <c r="C10">
        <v>101</v>
      </c>
      <c r="D10">
        <v>102</v>
      </c>
      <c r="F10" t="str">
        <f t="shared" si="0"/>
        <v>101+102</v>
      </c>
      <c r="G10">
        <v>17</v>
      </c>
      <c r="H10">
        <v>9</v>
      </c>
      <c r="J10">
        <f t="shared" si="1"/>
        <v>26</v>
      </c>
      <c r="K10" t="str">
        <f t="shared" si="2"/>
        <v>17+9</v>
      </c>
      <c r="L10" s="7">
        <v>1</v>
      </c>
      <c r="M10" s="8">
        <f t="shared" si="3"/>
        <v>12.4285714285714</v>
      </c>
      <c r="N10">
        <v>3</v>
      </c>
      <c r="O10">
        <v>4</v>
      </c>
      <c r="P10" t="str">
        <f t="shared" si="4"/>
        <v>101+102,17+9,1,3,4;</v>
      </c>
    </row>
    <row r="11" spans="1:17">
      <c r="A11">
        <v>1</v>
      </c>
      <c r="B11">
        <v>9</v>
      </c>
      <c r="C11">
        <v>101</v>
      </c>
      <c r="D11">
        <v>102</v>
      </c>
      <c r="F11" t="str">
        <f t="shared" si="0"/>
        <v>101+102</v>
      </c>
      <c r="G11">
        <v>20</v>
      </c>
      <c r="H11">
        <v>10</v>
      </c>
      <c r="J11">
        <f t="shared" si="1"/>
        <v>30</v>
      </c>
      <c r="K11" t="str">
        <f t="shared" si="2"/>
        <v>20+10</v>
      </c>
      <c r="L11" s="7">
        <v>0.9</v>
      </c>
      <c r="M11" s="8">
        <f t="shared" si="3"/>
        <v>12.7142857142857</v>
      </c>
      <c r="N11">
        <v>3</v>
      </c>
      <c r="O11">
        <v>4</v>
      </c>
      <c r="P11" t="str">
        <f t="shared" si="4"/>
        <v>101+102,20+10,0.9,3,4;</v>
      </c>
    </row>
    <row r="12" spans="1:17">
      <c r="A12">
        <v>1</v>
      </c>
      <c r="B12">
        <v>10</v>
      </c>
      <c r="C12">
        <v>101</v>
      </c>
      <c r="D12">
        <v>102</v>
      </c>
      <c r="F12" t="str">
        <f t="shared" si="0"/>
        <v>101+102</v>
      </c>
      <c r="G12">
        <v>22</v>
      </c>
      <c r="H12">
        <v>12</v>
      </c>
      <c r="J12">
        <f t="shared" si="1"/>
        <v>34</v>
      </c>
      <c r="K12" t="str">
        <f t="shared" si="2"/>
        <v>22+12</v>
      </c>
      <c r="L12" s="7">
        <v>0.9</v>
      </c>
      <c r="M12" s="8">
        <f t="shared" si="3"/>
        <v>13.7428571428571</v>
      </c>
      <c r="N12">
        <v>3</v>
      </c>
      <c r="O12">
        <v>4</v>
      </c>
      <c r="P12" t="str">
        <f t="shared" si="4"/>
        <v>101+102,22+12,0.9,3,4;</v>
      </c>
    </row>
    <row r="13" spans="1:17">
      <c r="A13">
        <v>1</v>
      </c>
      <c r="B13">
        <v>11</v>
      </c>
      <c r="C13">
        <v>101</v>
      </c>
      <c r="D13">
        <v>102</v>
      </c>
      <c r="F13" t="str">
        <f t="shared" si="0"/>
        <v>101+102</v>
      </c>
      <c r="G13">
        <v>27</v>
      </c>
      <c r="H13">
        <v>20</v>
      </c>
      <c r="J13">
        <f t="shared" si="1"/>
        <v>47</v>
      </c>
      <c r="K13" t="str">
        <f t="shared" si="2"/>
        <v>27+20</v>
      </c>
      <c r="L13" s="7">
        <v>0.9</v>
      </c>
      <c r="M13" s="8">
        <f t="shared" si="3"/>
        <v>17.0857142857143</v>
      </c>
      <c r="N13">
        <v>3</v>
      </c>
      <c r="O13">
        <v>4</v>
      </c>
      <c r="P13" t="str">
        <f t="shared" si="4"/>
        <v>101+102,27+20,0.9,3,4;</v>
      </c>
    </row>
    <row r="14" spans="1:17">
      <c r="A14">
        <v>1</v>
      </c>
      <c r="B14">
        <v>12</v>
      </c>
      <c r="C14">
        <v>101</v>
      </c>
      <c r="D14">
        <v>102</v>
      </c>
      <c r="F14" t="str">
        <f t="shared" si="0"/>
        <v>101+102</v>
      </c>
      <c r="G14">
        <v>30</v>
      </c>
      <c r="H14">
        <v>23</v>
      </c>
      <c r="J14">
        <f t="shared" si="1"/>
        <v>53</v>
      </c>
      <c r="K14" t="str">
        <f t="shared" si="2"/>
        <v>30+23</v>
      </c>
      <c r="L14" s="7">
        <v>0.9</v>
      </c>
      <c r="M14" s="8">
        <f t="shared" si="3"/>
        <v>18.6285714285714</v>
      </c>
      <c r="N14">
        <v>3</v>
      </c>
      <c r="O14">
        <v>4</v>
      </c>
      <c r="P14" t="str">
        <f t="shared" si="4"/>
        <v>101+102,30+23,0.9,3,4;</v>
      </c>
    </row>
    <row r="15" spans="1:17">
      <c r="A15">
        <v>1</v>
      </c>
      <c r="B15">
        <v>13</v>
      </c>
      <c r="C15">
        <v>101</v>
      </c>
      <c r="D15">
        <v>102</v>
      </c>
      <c r="E15">
        <v>103</v>
      </c>
      <c r="F15" t="str">
        <f t="shared" si="0"/>
        <v>101+102+103</v>
      </c>
      <c r="G15">
        <v>32</v>
      </c>
      <c r="H15">
        <v>24</v>
      </c>
      <c r="I15">
        <v>3</v>
      </c>
      <c r="J15">
        <f t="shared" si="1"/>
        <v>59</v>
      </c>
      <c r="K15" t="str">
        <f t="shared" si="2"/>
        <v>32+24+3</v>
      </c>
      <c r="L15" s="7">
        <v>0.8</v>
      </c>
      <c r="M15" s="8">
        <f t="shared" si="3"/>
        <v>18.4857142857143</v>
      </c>
      <c r="N15">
        <v>3</v>
      </c>
      <c r="O15">
        <v>4</v>
      </c>
      <c r="P15" t="str">
        <f t="shared" si="4"/>
        <v>101+102+103,32+24+3,0.8,3,4;</v>
      </c>
    </row>
    <row r="16" spans="1:17">
      <c r="A16">
        <v>1</v>
      </c>
      <c r="B16">
        <v>14</v>
      </c>
      <c r="C16">
        <v>101</v>
      </c>
      <c r="D16">
        <v>102</v>
      </c>
      <c r="E16">
        <v>103</v>
      </c>
      <c r="F16" t="str">
        <f t="shared" si="0"/>
        <v>101+102+103</v>
      </c>
      <c r="G16">
        <v>30</v>
      </c>
      <c r="H16">
        <v>25</v>
      </c>
      <c r="I16">
        <v>8</v>
      </c>
      <c r="J16">
        <f t="shared" si="1"/>
        <v>63</v>
      </c>
      <c r="K16" t="str">
        <f t="shared" si="2"/>
        <v>30+25+8</v>
      </c>
      <c r="L16" s="7">
        <v>0.8</v>
      </c>
      <c r="M16" s="8">
        <f t="shared" si="3"/>
        <v>19.4</v>
      </c>
      <c r="N16">
        <v>3</v>
      </c>
      <c r="O16">
        <v>4</v>
      </c>
      <c r="P16" t="str">
        <f t="shared" si="4"/>
        <v>101+102+103,30+25+8,0.8,3,4;</v>
      </c>
    </row>
    <row r="17" spans="1:16">
      <c r="A17">
        <v>1</v>
      </c>
      <c r="B17">
        <v>15</v>
      </c>
      <c r="C17">
        <v>101</v>
      </c>
      <c r="D17">
        <v>102</v>
      </c>
      <c r="E17">
        <v>103</v>
      </c>
      <c r="F17" t="str">
        <f t="shared" si="0"/>
        <v>101+102+103</v>
      </c>
      <c r="G17">
        <v>35</v>
      </c>
      <c r="H17">
        <v>25</v>
      </c>
      <c r="I17">
        <v>12</v>
      </c>
      <c r="J17">
        <f t="shared" si="1"/>
        <v>72</v>
      </c>
      <c r="K17" t="str">
        <f t="shared" si="2"/>
        <v>35+25+12</v>
      </c>
      <c r="L17" s="7">
        <v>0.8</v>
      </c>
      <c r="M17" s="8">
        <f t="shared" si="3"/>
        <v>17.8</v>
      </c>
      <c r="N17">
        <v>4</v>
      </c>
      <c r="O17">
        <v>5</v>
      </c>
      <c r="P17" t="str">
        <f t="shared" si="4"/>
        <v>101+102+103,35+25+12,0.8,4,5;</v>
      </c>
    </row>
    <row r="18" spans="1:16">
      <c r="A18">
        <v>1</v>
      </c>
      <c r="B18">
        <v>16</v>
      </c>
      <c r="C18">
        <v>101</v>
      </c>
      <c r="D18">
        <v>102</v>
      </c>
      <c r="E18">
        <v>103</v>
      </c>
      <c r="F18" t="str">
        <f t="shared" si="0"/>
        <v>101+102+103</v>
      </c>
      <c r="G18">
        <v>40</v>
      </c>
      <c r="H18">
        <v>28</v>
      </c>
      <c r="I18">
        <v>15</v>
      </c>
      <c r="J18">
        <f t="shared" si="1"/>
        <v>83</v>
      </c>
      <c r="K18" t="str">
        <f t="shared" si="2"/>
        <v>40+28+15</v>
      </c>
      <c r="L18" s="7">
        <v>0.7</v>
      </c>
      <c r="M18" s="8">
        <f t="shared" si="3"/>
        <v>17.9111111111111</v>
      </c>
      <c r="N18">
        <v>4</v>
      </c>
      <c r="O18">
        <v>5</v>
      </c>
      <c r="P18" t="str">
        <f t="shared" si="4"/>
        <v>101+102+103,40+28+15,0.7,4,5;</v>
      </c>
    </row>
    <row r="19" spans="1:16">
      <c r="A19">
        <v>1</v>
      </c>
      <c r="B19">
        <v>17</v>
      </c>
      <c r="C19">
        <v>101</v>
      </c>
      <c r="D19">
        <v>102</v>
      </c>
      <c r="E19">
        <v>103</v>
      </c>
      <c r="F19" t="str">
        <f t="shared" si="0"/>
        <v>101+102+103</v>
      </c>
      <c r="G19">
        <v>45</v>
      </c>
      <c r="H19">
        <v>30</v>
      </c>
      <c r="I19">
        <v>20</v>
      </c>
      <c r="J19">
        <f t="shared" si="1"/>
        <v>95</v>
      </c>
      <c r="K19" t="str">
        <f t="shared" si="2"/>
        <v>45+30+20</v>
      </c>
      <c r="L19" s="7">
        <v>0.7</v>
      </c>
      <c r="M19" s="8">
        <f t="shared" si="3"/>
        <v>19.7777777777778</v>
      </c>
      <c r="N19">
        <v>4</v>
      </c>
      <c r="O19">
        <v>5</v>
      </c>
      <c r="P19" t="str">
        <f t="shared" si="4"/>
        <v>101+102+103,45+30+20,0.7,4,5;</v>
      </c>
    </row>
    <row r="20" spans="1:16">
      <c r="A20">
        <v>1</v>
      </c>
      <c r="B20">
        <v>18</v>
      </c>
      <c r="C20">
        <v>101</v>
      </c>
      <c r="D20">
        <v>102</v>
      </c>
      <c r="E20">
        <v>103</v>
      </c>
      <c r="F20" t="str">
        <f t="shared" si="0"/>
        <v>101+102+103</v>
      </c>
      <c r="G20">
        <v>50</v>
      </c>
      <c r="H20">
        <v>35</v>
      </c>
      <c r="I20">
        <v>22</v>
      </c>
      <c r="J20">
        <f t="shared" si="1"/>
        <v>107</v>
      </c>
      <c r="K20" t="str">
        <f t="shared" si="2"/>
        <v>50+35+22</v>
      </c>
      <c r="L20" s="7">
        <v>0.6</v>
      </c>
      <c r="M20" s="8">
        <f t="shared" si="3"/>
        <v>17.84</v>
      </c>
      <c r="N20">
        <v>4</v>
      </c>
      <c r="O20">
        <v>6</v>
      </c>
      <c r="P20" t="str">
        <f t="shared" si="4"/>
        <v>101+102+103,50+35+22,0.6,4,6;</v>
      </c>
    </row>
    <row r="21" spans="1:16">
      <c r="A21">
        <v>1</v>
      </c>
      <c r="B21">
        <v>19</v>
      </c>
      <c r="C21">
        <v>101</v>
      </c>
      <c r="D21">
        <v>102</v>
      </c>
      <c r="E21">
        <v>103</v>
      </c>
      <c r="F21" t="str">
        <f t="shared" si="0"/>
        <v>101+102+103</v>
      </c>
      <c r="G21">
        <v>53</v>
      </c>
      <c r="H21">
        <v>38</v>
      </c>
      <c r="I21">
        <v>28</v>
      </c>
      <c r="J21">
        <f t="shared" si="1"/>
        <v>119</v>
      </c>
      <c r="K21" t="str">
        <f t="shared" si="2"/>
        <v>53+38+28</v>
      </c>
      <c r="L21" s="7">
        <v>0.5</v>
      </c>
      <c r="M21" s="8">
        <f t="shared" si="3"/>
        <v>15.8181818181818</v>
      </c>
      <c r="N21">
        <v>5</v>
      </c>
      <c r="O21">
        <v>6</v>
      </c>
      <c r="P21" t="str">
        <f t="shared" si="4"/>
        <v>101+102+103,53+38+28,0.5,5,6;</v>
      </c>
    </row>
    <row r="22" spans="1:16">
      <c r="A22">
        <v>1</v>
      </c>
      <c r="B22">
        <v>20</v>
      </c>
      <c r="C22">
        <v>101</v>
      </c>
      <c r="D22">
        <v>102</v>
      </c>
      <c r="E22">
        <v>103</v>
      </c>
      <c r="F22" t="str">
        <f t="shared" si="0"/>
        <v>101+102+103</v>
      </c>
      <c r="G22">
        <v>58</v>
      </c>
      <c r="H22">
        <v>40</v>
      </c>
      <c r="I22">
        <v>33</v>
      </c>
      <c r="J22">
        <f t="shared" si="1"/>
        <v>131</v>
      </c>
      <c r="K22" t="str">
        <f t="shared" si="2"/>
        <v>58+40+33</v>
      </c>
      <c r="L22" s="7">
        <v>0.5</v>
      </c>
      <c r="M22" s="8">
        <f t="shared" si="3"/>
        <v>16.9090909090909</v>
      </c>
      <c r="N22">
        <v>5</v>
      </c>
      <c r="O22">
        <v>6</v>
      </c>
      <c r="P22" t="str">
        <f t="shared" si="4"/>
        <v>101+102+103,58+40+33,0.5,5,6;</v>
      </c>
    </row>
    <row r="23" spans="1:16">
      <c r="F23" t="s">
        <v>469</v>
      </c>
      <c r="J23" s="6">
        <f>SUM(J3:J22)</f>
        <v>996</v>
      </c>
      <c r="K23" s="6"/>
      <c r="M23" s="9">
        <f>SUM(M3:M22)</f>
        <v>311.008542568543</v>
      </c>
      <c r="O23" t="s">
        <v>470</v>
      </c>
      <c r="P23" t="str">
        <f>P3&amp;P4&amp;P5&amp;P6&amp;P7&amp;P8&amp;P9&amp;P10&amp;P11&amp;P12&amp;P13&amp;P14&amp;P15&amp;P16&amp;P17&amp;P18&amp;P19&amp;P20&amp;P21&amp;P22</f>
        <v>101,4,1.5,1,1;101,6,1.2,1,1;101,8,1.2,1,1;101,10,1.1,1,2;101,12,1.1,1,2;101+102,14,1,1,2;101+102,15+8,1,2,3;101+102,17+9,1,3,4;101+102,20+10,0.9,3,4;101+102,22+12,0.9,3,4;101+102,27+20,0.9,3,4;101+102,30+23,0.9,3,4;101+102+103,32+24+3,0.8,3,4;101+102+103,30+25+8,0.8,3,4;101+102+103,35+25+12,0.8,4,5;101+102+103,40+28+15,0.7,4,5;101+102+103,45+30+20,0.7,4,5;101+102+103,50+35+22,0.6,4,6;101+102+103,53+38+28,0.5,5,6;101+102+103,58+40+33,0.5,5,6;</v>
      </c>
    </row>
    <row r="24" spans="1:16">
      <c r="P24" t="str">
        <f>_xlfn.TEXTJOIN("",TRUE,P3:P22)</f>
        <v>101,4,1.5,1,1;101,6,1.2,1,1;101,8,1.2,1,1;101,10,1.1,1,2;101,12,1.1,1,2;101+102,14,1,1,2;101+102,15+8,1,2,3;101+102,17+9,1,3,4;101+102,20+10,0.9,3,4;101+102,22+12,0.9,3,4;101+102,27+20,0.9,3,4;101+102,30+23,0.9,3,4;101+102+103,32+24+3,0.8,3,4;101+102+103,30+25+8,0.8,3,4;101+102+103,35+25+12,0.8,4,5;101+102+103,40+28+15,0.7,4,5;101+102+103,45+30+20,0.7,4,5;101+102+103,50+35+22,0.6,4,6;101+102+103,53+38+28,0.5,5,6;101+102+103,58+40+33,0.5,5,6;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4"/>
  <sheetViews>
    <sheetView workbookViewId="0">
      <selection activeCell="F5" sqref="F5"/>
    </sheetView>
  </sheetViews>
  <sheetFormatPr defaultColWidth="9" defaultRowHeight="13.5"/>
  <cols>
    <col min="2" max="4" width="12.9" customWidth="1"/>
    <col min="5" max="5" width="11.875" customWidth="1"/>
    <col min="6" max="6" width="99.875" customWidth="1"/>
    <col min="7" max="7" width="72" hidden="1" customWidth="1"/>
    <col min="8" max="8" width="38.375" customWidth="1"/>
  </cols>
  <sheetData>
    <row r="1" spans="1:10">
      <c r="A1" t="s">
        <v>0</v>
      </c>
      <c r="B1" t="s">
        <v>1</v>
      </c>
      <c r="F1" s="6" t="s">
        <v>5</v>
      </c>
      <c r="G1" t="s">
        <v>5</v>
      </c>
      <c r="H1" t="s">
        <v>471</v>
      </c>
    </row>
    <row r="2" spans="1:10">
      <c r="A2" t="s">
        <v>10</v>
      </c>
      <c r="B2" t="s">
        <v>11</v>
      </c>
      <c r="F2" s="6" t="s">
        <v>11</v>
      </c>
      <c r="G2" t="s">
        <v>11</v>
      </c>
    </row>
    <row r="3" spans="1:10">
      <c r="A3" t="s">
        <v>12</v>
      </c>
      <c r="B3" t="s">
        <v>13</v>
      </c>
      <c r="F3" s="6" t="s">
        <v>17</v>
      </c>
      <c r="G3" s="6" t="s">
        <v>472</v>
      </c>
    </row>
    <row r="4" spans="1:10">
      <c r="A4">
        <v>1</v>
      </c>
      <c r="B4" t="str">
        <f>_xlfn.TEXTJOIN(",",,C4:E4)</f>
        <v>1,2,3</v>
      </c>
      <c r="C4" s="2">
        <v>1</v>
      </c>
      <c r="D4" s="2">
        <v>2</v>
      </c>
      <c r="E4" s="2">
        <v>3</v>
      </c>
      <c r="F4" t="str">
        <f>SUBSTITUTE(SUBSTITUTE(SUBSTITUTE(G4,101,C4),102,D4),103,E4)</f>
        <v>1,4,1.5,1,1;1,6,1.2,1,1;1,8,1.2,1,1;1,10,1.1,1,2;1,12,1.1,1,2;1+2,14,1,1,2;1+2,15+8,1,2,3;1+2,17+9,1,3,4;1+2,20+10,0.9,3,4;1+2,22+12,0.9,3,4;1+2,27+20,0.9,3,4;1+2,30+23,0.9,3,4;1+2+3,32+24+3,0.8,3,4;1+2+3,30+25+8,0.8,3,4;1+2+3,35+25+12,0.8,4,5;1+2+3,40+28+15,0.7,4,5;1+2+3,45+30+20,0.7,4,5;1+2+3,50+35+22,0.6,4,6;1+2+3,53+38+28,0.5,5,6;1+2+3,58+40+33,0.5,5,6;</v>
      </c>
      <c r="G4" t="s">
        <v>473</v>
      </c>
    </row>
    <row r="5" spans="1:10">
      <c r="A5">
        <v>2</v>
      </c>
      <c r="B5" t="str">
        <f t="shared" ref="B5:B13" si="0">_xlfn.TEXTJOIN(",",,C5:E5)</f>
        <v>5,2,6</v>
      </c>
      <c r="C5" s="2">
        <v>5</v>
      </c>
      <c r="D5" s="2">
        <v>2</v>
      </c>
      <c r="E5" s="2">
        <v>6</v>
      </c>
      <c r="F5" t="str">
        <f t="shared" ref="F5:F13" si="1">SUBSTITUTE(SUBSTITUTE(SUBSTITUTE(G5,101,C5),102,D5),103,E5)</f>
        <v>5,4,1.5,1,1;5,6,1.2,1,1;5,8,1.2,1,1;5,10,1.1,1,2;5,12,1.1,1,2;5+2,14,1,1,2;5+2,15+8,1,2,3;5+2,17+9,1,3,4;5+2,20+10,0.9,3,4;5+2,22+12,0.9,3,4;5+2,27+20,0.9,3,4;5+2,30+23,0.9,3,4;5+2+6,32+24+3,0.8,3,4;5+2+6,30+25+8,0.8,3,4;5+2+6,35+25+12,0.8,4,5;5+2+6,40+28+15,0.7,4,5;5+2+6,45+30+20,0.7,4,5;5+2+6,50+35+22,0.6,4,6;5+2+6,53+38+28,0.5,5,6;5+2+6,58+40+33,0.5,5,6;</v>
      </c>
      <c r="G5" t="s">
        <v>473</v>
      </c>
      <c r="H5" t="str">
        <f t="shared" ref="H5:H68" si="2">"7,"&amp;I5&amp;",50,1;15,"&amp;J5&amp;",100,2"</f>
        <v>7,101,50,1;15,201,100,2</v>
      </c>
      <c r="I5">
        <v>101</v>
      </c>
      <c r="J5">
        <v>201</v>
      </c>
    </row>
    <row r="6" spans="1:10">
      <c r="A6">
        <v>3</v>
      </c>
      <c r="B6" t="str">
        <f t="shared" si="0"/>
        <v>7,9,11</v>
      </c>
      <c r="C6" s="2">
        <v>7</v>
      </c>
      <c r="D6" s="2">
        <v>9</v>
      </c>
      <c r="E6" s="2">
        <v>11</v>
      </c>
      <c r="F6" t="str">
        <f t="shared" si="1"/>
        <v>7,4,1.5,1,1;7,6,1.2,1,1;7,8,1.2,1,1;7,10,1.1,1,2;7,12,1.1,1,2;7+9,14,1,1,2;7+9,15+8,1,2,3;7+9,17+9,1,3,4;7+9,20+10,0.9,3,4;7+9,22+12,0.9,3,4;7+9,27+20,0.9,3,4;7+9,30+23,0.9,3,4;7+9+11,32+24+3,0.8,3,4;7+9+11,30+25+8,0.8,3,4;7+9+11,35+25+12,0.8,4,5;7+9+11,40+28+15,0.7,4,5;7+9+11,45+30+20,0.7,4,5;7+9+11,50+35+22,0.6,4,6;7+9+11,53+38+28,0.5,5,6;7+9+11,58+40+33,0.5,5,6;</v>
      </c>
      <c r="G6" t="s">
        <v>473</v>
      </c>
      <c r="H6" t="str">
        <f t="shared" si="2"/>
        <v>7,102,50,1;15,202,100,2</v>
      </c>
      <c r="I6">
        <v>102</v>
      </c>
      <c r="J6">
        <v>202</v>
      </c>
    </row>
    <row r="7" spans="1:10">
      <c r="A7">
        <v>4</v>
      </c>
      <c r="B7" t="str">
        <f t="shared" si="0"/>
        <v>13,12,10</v>
      </c>
      <c r="C7" s="2">
        <v>13</v>
      </c>
      <c r="D7" s="2">
        <v>12</v>
      </c>
      <c r="E7" s="2">
        <v>10</v>
      </c>
      <c r="F7" t="str">
        <f t="shared" si="1"/>
        <v>13,4,1.5,1,1;13,6,1.2,1,1;13,8,1.2,1,1;13,10,1.1,1,2;13,12,1.1,1,2;13+12,14,1,1,2;13+12,15+8,1,2,3;13+12,17+9,1,3,4;13+12,20+10,0.9,3,4;13+12,22+12,0.9,3,4;13+12,27+20,0.9,3,4;13+12,30+23,0.9,3,4;13+12+10,32+24+3,0.8,3,4;13+12+10,30+25+8,0.8,3,4;13+12+10,35+25+12,0.8,4,5;13+12+10,40+28+15,0.7,4,5;13+12+10,45+30+20,0.7,4,5;13+12+10,50+35+22,0.6,4,6;13+12+10,53+38+28,0.5,5,6;13+12+10,58+40+33,0.5,5,6;</v>
      </c>
      <c r="G7" t="s">
        <v>473</v>
      </c>
      <c r="H7" t="str">
        <f t="shared" si="2"/>
        <v>7,101,50,1;15,203,100,2</v>
      </c>
      <c r="I7">
        <v>101</v>
      </c>
      <c r="J7">
        <v>203</v>
      </c>
    </row>
    <row r="8" spans="1:10">
      <c r="A8">
        <v>5</v>
      </c>
      <c r="B8" t="str">
        <f t="shared" si="0"/>
        <v>21,15,8</v>
      </c>
      <c r="C8" s="2">
        <v>21</v>
      </c>
      <c r="D8" s="2">
        <v>15</v>
      </c>
      <c r="E8" s="2">
        <v>8</v>
      </c>
      <c r="F8" t="str">
        <f t="shared" si="1"/>
        <v>21,4,1.5,1,1;21,6,1.2,1,1;21,8,1.2,1,1;21,10,1.1,1,2;21,12,1.1,1,2;21+15,14,1,1,2;21+15,15+8,1,2,3;21+15,17+9,1,3,4;21+15,20+10,0.9,3,4;21+15,22+12,0.9,3,4;21+15,27+20,0.9,3,4;21+15,30+23,0.9,3,4;21+15+8,32+24+3,0.8,3,4;21+15+8,30+25+8,0.8,3,4;21+15+8,35+25+12,0.8,4,5;21+15+8,40+28+15,0.7,4,5;21+15+8,45+30+20,0.7,4,5;21+15+8,50+35+22,0.6,4,6;21+15+8,53+38+28,0.5,5,6;21+15+8,58+40+33,0.5,5,6;</v>
      </c>
      <c r="G8" t="s">
        <v>473</v>
      </c>
      <c r="H8" t="str">
        <f t="shared" si="2"/>
        <v>7,102,50,1;15,201,100,2</v>
      </c>
      <c r="I8">
        <v>102</v>
      </c>
      <c r="J8">
        <v>201</v>
      </c>
    </row>
    <row r="9" spans="1:10">
      <c r="A9">
        <v>6</v>
      </c>
      <c r="B9" t="str">
        <f t="shared" si="0"/>
        <v>16,20,23</v>
      </c>
      <c r="C9" s="2">
        <v>16</v>
      </c>
      <c r="D9" s="2">
        <v>20</v>
      </c>
      <c r="E9" s="2">
        <v>23</v>
      </c>
      <c r="F9" t="str">
        <f t="shared" si="1"/>
        <v>16,4,1.5,1,1;16,6,1.2,1,1;16,8,1.2,1,1;16,10,1.1,1,2;16,12,1.1,1,2;16+20,14,1,1,2;16+20,15+8,1,2,3;16+20,17+9,1,3,4;16+20,20+10,0.9,3,4;16+20,22+12,0.9,3,4;16+20,27+20,0.9,3,4;16+20,30+23,0.9,3,4;16+20+23,32+24+3,0.8,3,4;16+20+23,30+25+8,0.8,3,4;16+20+23,35+25+12,0.8,4,5;16+20+23,40+28+15,0.7,4,5;16+20+23,45+30+20,0.7,4,5;16+20+23,50+35+22,0.6,4,6;16+20+23,53+38+28,0.5,5,6;16+20+23,58+40+33,0.5,5,6;</v>
      </c>
      <c r="G9" t="s">
        <v>473</v>
      </c>
      <c r="H9" t="str">
        <f t="shared" si="2"/>
        <v>7,101,50,1;15,202,100,2</v>
      </c>
      <c r="I9">
        <v>101</v>
      </c>
      <c r="J9">
        <v>202</v>
      </c>
    </row>
    <row r="10" spans="1:10">
      <c r="A10">
        <v>7</v>
      </c>
      <c r="B10" t="str">
        <f t="shared" si="0"/>
        <v>17,14,26</v>
      </c>
      <c r="C10" s="2">
        <v>17</v>
      </c>
      <c r="D10" s="2">
        <v>14</v>
      </c>
      <c r="E10" s="2">
        <v>26</v>
      </c>
      <c r="F10" t="str">
        <f t="shared" si="1"/>
        <v>17,4,1.5,1,1;17,6,1.2,1,1;17,8,1.2,1,1;17,10,1.1,1,2;17,12,1.1,1,2;17+14,14,1,1,2;17+14,15+8,1,2,3;17+14,17+9,1,3,4;17+14,20+10,0.9,3,4;17+14,22+12,0.9,3,4;17+14,27+20,0.9,3,4;17+14,30+23,0.9,3,4;17+14+26,32+24+3,0.8,3,4;17+14+26,30+25+8,0.8,3,4;17+14+26,35+25+12,0.8,4,5;17+14+26,40+28+15,0.7,4,5;17+14+26,45+30+20,0.7,4,5;17+14+26,50+35+22,0.6,4,6;17+14+26,53+38+28,0.5,5,6;17+14+26,58+40+33,0.5,5,6;</v>
      </c>
      <c r="G10" t="s">
        <v>473</v>
      </c>
      <c r="H10" t="str">
        <f t="shared" si="2"/>
        <v>7,102,50,1;15,203,100,2</v>
      </c>
      <c r="I10">
        <v>102</v>
      </c>
      <c r="J10">
        <v>203</v>
      </c>
    </row>
    <row r="11" spans="1:10">
      <c r="A11">
        <v>8</v>
      </c>
      <c r="B11" t="str">
        <f t="shared" si="0"/>
        <v>18,22,28</v>
      </c>
      <c r="C11" s="2">
        <v>18</v>
      </c>
      <c r="D11" s="2">
        <v>22</v>
      </c>
      <c r="E11" s="2">
        <v>28</v>
      </c>
      <c r="F11" t="str">
        <f t="shared" si="1"/>
        <v>18,4,1.5,1,1;18,6,1.2,1,1;18,8,1.2,1,1;18,10,1.1,1,2;18,12,1.1,1,2;18+22,14,1,1,2;18+22,15+8,1,2,3;18+22,17+9,1,3,4;18+22,20+10,0.9,3,4;18+22,22+12,0.9,3,4;18+22,27+20,0.9,3,4;18+22,30+23,0.9,3,4;18+22+28,32+24+3,0.8,3,4;18+22+28,30+25+8,0.8,3,4;18+22+28,35+25+12,0.8,4,5;18+22+28,40+28+15,0.7,4,5;18+22+28,45+30+20,0.7,4,5;18+22+28,50+35+22,0.6,4,6;18+22+28,53+38+28,0.5,5,6;18+22+28,58+40+33,0.5,5,6;</v>
      </c>
      <c r="G11" t="s">
        <v>473</v>
      </c>
      <c r="H11" t="str">
        <f t="shared" si="2"/>
        <v>7,101,50,1;15,201,100,2</v>
      </c>
      <c r="I11">
        <v>101</v>
      </c>
      <c r="J11">
        <v>201</v>
      </c>
    </row>
    <row r="12" spans="1:10">
      <c r="A12">
        <v>9</v>
      </c>
      <c r="B12" t="str">
        <f t="shared" si="0"/>
        <v>19,24,3</v>
      </c>
      <c r="C12" s="2">
        <v>19</v>
      </c>
      <c r="D12" s="2">
        <v>24</v>
      </c>
      <c r="E12" s="2">
        <v>3</v>
      </c>
      <c r="F12" t="str">
        <f t="shared" si="1"/>
        <v>19,4,1.5,1,1;19,6,1.2,1,1;19,8,1.2,1,1;19,10,1.1,1,2;19,12,1.1,1,2;19+24,14,1,1,2;19+24,15+8,1,2,3;19+24,17+9,1,3,4;19+24,20+10,0.9,3,4;19+24,22+12,0.9,3,4;19+24,27+20,0.9,3,4;19+24,30+23,0.9,3,4;19+24+3,32+24+3,0.8,3,4;19+24+3,30+25+8,0.8,3,4;19+24+3,35+25+12,0.8,4,5;19+24+3,40+28+15,0.7,4,5;19+24+3,45+30+20,0.7,4,5;19+24+3,50+35+22,0.6,4,6;19+24+3,53+38+28,0.5,5,6;19+24+3,58+40+33,0.5,5,6;</v>
      </c>
      <c r="G12" t="s">
        <v>473</v>
      </c>
      <c r="H12" t="str">
        <f t="shared" si="2"/>
        <v>7,102,50,1;15,202,100,2</v>
      </c>
      <c r="I12">
        <v>102</v>
      </c>
      <c r="J12">
        <v>202</v>
      </c>
    </row>
    <row r="13" spans="1:10">
      <c r="A13">
        <v>10</v>
      </c>
      <c r="B13" t="str">
        <f t="shared" si="0"/>
        <v>1,25,6</v>
      </c>
      <c r="C13" s="2">
        <v>1</v>
      </c>
      <c r="D13" s="2">
        <v>25</v>
      </c>
      <c r="E13" s="2">
        <v>6</v>
      </c>
      <c r="F13" t="str">
        <f t="shared" si="1"/>
        <v>1,4,1.5,1,1;1,6,1.2,1,1;1,8,1.2,1,1;1,10,1.1,1,2;1,12,1.1,1,2;1+25,14,1,1,2;1+25,15+8,1,2,3;1+25,17+9,1,3,4;1+25,20+10,0.9,3,4;1+25,22+12,0.9,3,4;1+25,27+20,0.9,3,4;1+25,30+23,0.9,3,4;1+25+6,32+24+3,0.8,3,4;1+25+6,30+25+8,0.8,3,4;1+25+6,35+25+12,0.8,4,5;1+25+6,40+28+15,0.7,4,5;1+25+6,45+30+20,0.7,4,5;1+25+6,50+35+22,0.6,4,6;1+25+6,53+38+28,0.5,5,6;1+25+6,58+40+33,0.5,5,6;</v>
      </c>
      <c r="G13" t="s">
        <v>473</v>
      </c>
      <c r="H13" t="str">
        <f t="shared" si="2"/>
        <v>7,101,50,1;15,203,100,2</v>
      </c>
      <c r="I13">
        <v>101</v>
      </c>
      <c r="J13">
        <v>203</v>
      </c>
    </row>
    <row r="14" spans="1:10">
      <c r="A14">
        <v>11</v>
      </c>
      <c r="B14" t="str">
        <f t="shared" ref="B14:B77" si="3">_xlfn.TEXTJOIN(",",,C14:E14)</f>
        <v>5,27,8</v>
      </c>
      <c r="C14" s="2">
        <v>5</v>
      </c>
      <c r="D14" s="2">
        <v>27</v>
      </c>
      <c r="E14" s="2">
        <v>8</v>
      </c>
      <c r="F14" t="str">
        <f t="shared" ref="F14:F19" si="4">SUBSTITUTE(SUBSTITUTE(SUBSTITUTE(G14,101,C14),102,D14),103,E14)</f>
        <v>5,4,1.5,1,1;5,6,1.2,1,1;5,8,1.2,1,1;5,10,1.1,1,2;5,12,1.1,1,2;5+27,14,1,1,2;5+27,15+8,1,2,3;5+27,17+9,1,3,4;5+27,20+10,0.9,3,4;5+27,22+12,0.9,3,4;5+27,27+20,0.9,3,4;5+27,30+23,0.9,3,4;5+27+8,32+24+3,0.8,3,4;5+27+8,30+25+8,0.8,3,4;5+27+8,35+25+12,0.8,4,5;5+27+8,40+28+15,0.7,4,5;5+27+8,45+30+20,0.7,4,5;5+27+8,50+35+22,0.6,4,6;5+27+8,53+38+28,0.5,5,6;5+27+8,58+40+33,0.5,5,6;</v>
      </c>
      <c r="G14" t="s">
        <v>473</v>
      </c>
      <c r="H14" t="str">
        <f t="shared" si="2"/>
        <v>7,102,50,1;15,201,100,2</v>
      </c>
      <c r="I14">
        <v>102</v>
      </c>
      <c r="J14">
        <v>201</v>
      </c>
    </row>
    <row r="15" spans="1:10">
      <c r="A15">
        <v>12</v>
      </c>
      <c r="B15" t="str">
        <f t="shared" si="3"/>
        <v>7,2,10</v>
      </c>
      <c r="C15" s="2">
        <v>7</v>
      </c>
      <c r="D15" s="2">
        <v>2</v>
      </c>
      <c r="E15" s="2">
        <v>10</v>
      </c>
      <c r="F15" t="str">
        <f t="shared" si="4"/>
        <v>7,4,1.5,1,1;7,6,1.2,1,1;7,8,1.2,1,1;7,10,1.1,1,2;7,12,1.1,1,2;7+2,14,1,1,2;7+2,15+8,1,2,3;7+2,17+9,1,3,4;7+2,20+10,0.9,3,4;7+2,22+12,0.9,3,4;7+2,27+20,0.9,3,4;7+2,30+23,0.9,3,4;7+2+10,32+24+3,0.8,3,4;7+2+10,30+25+8,0.8,3,4;7+2+10,35+25+12,0.8,4,5;7+2+10,40+28+15,0.7,4,5;7+2+10,45+30+20,0.7,4,5;7+2+10,50+35+22,0.6,4,6;7+2+10,53+38+28,0.5,5,6;7+2+10,58+40+33,0.5,5,6;</v>
      </c>
      <c r="G15" t="s">
        <v>473</v>
      </c>
      <c r="H15" t="str">
        <f t="shared" si="2"/>
        <v>7,101,50,1;15,202,100,2</v>
      </c>
      <c r="I15">
        <v>101</v>
      </c>
      <c r="J15">
        <v>202</v>
      </c>
    </row>
    <row r="16" spans="1:10">
      <c r="A16">
        <v>13</v>
      </c>
      <c r="B16" t="str">
        <f t="shared" si="3"/>
        <v>13,12,11</v>
      </c>
      <c r="C16" s="2">
        <v>13</v>
      </c>
      <c r="D16" s="2">
        <v>12</v>
      </c>
      <c r="E16" s="2">
        <v>11</v>
      </c>
      <c r="F16" t="str">
        <f t="shared" si="4"/>
        <v>13,4,1.5,1,1;13,6,1.2,1,1;13,8,1.2,1,1;13,10,1.1,1,2;13,12,1.1,1,2;13+12,14,1,1,2;13+12,15+8,1,2,3;13+12,17+9,1,3,4;13+12,20+10,0.9,3,4;13+12,22+12,0.9,3,4;13+12,27+20,0.9,3,4;13+12,30+23,0.9,3,4;13+12+11,32+24+3,0.8,3,4;13+12+11,30+25+8,0.8,3,4;13+12+11,35+25+12,0.8,4,5;13+12+11,40+28+15,0.7,4,5;13+12+11,45+30+20,0.7,4,5;13+12+11,50+35+22,0.6,4,6;13+12+11,53+38+28,0.5,5,6;13+12+11,58+40+33,0.5,5,6;</v>
      </c>
      <c r="G16" t="s">
        <v>473</v>
      </c>
      <c r="H16" t="str">
        <f t="shared" si="2"/>
        <v>7,102,50,1;15,203,100,2</v>
      </c>
      <c r="I16">
        <v>102</v>
      </c>
      <c r="J16">
        <v>203</v>
      </c>
    </row>
    <row r="17" spans="1:10">
      <c r="A17">
        <v>14</v>
      </c>
      <c r="B17" t="str">
        <f t="shared" si="3"/>
        <v>13,9,23</v>
      </c>
      <c r="C17" s="2">
        <v>13</v>
      </c>
      <c r="D17" s="2">
        <v>9</v>
      </c>
      <c r="E17" s="2">
        <v>23</v>
      </c>
      <c r="F17" t="str">
        <f t="shared" si="4"/>
        <v>13,4,1.5,1,1;13,6,1.2,1,1;13,8,1.2,1,1;13,10,1.1,1,2;13,12,1.1,1,2;13+9,14,1,1,2;13+9,15+8,1,2,3;13+9,17+9,1,3,4;13+9,20+10,0.9,3,4;13+9,22+12,0.9,3,4;13+9,27+20,0.9,3,4;13+9,30+23,0.9,3,4;13+9+23,32+24+3,0.8,3,4;13+9+23,30+25+8,0.8,3,4;13+9+23,35+25+12,0.8,4,5;13+9+23,40+28+15,0.7,4,5;13+9+23,45+30+20,0.7,4,5;13+9+23,50+35+22,0.6,4,6;13+9+23,53+38+28,0.5,5,6;13+9+23,58+40+33,0.5,5,6;</v>
      </c>
      <c r="G17" t="s">
        <v>473</v>
      </c>
      <c r="H17" t="str">
        <f t="shared" si="2"/>
        <v>7,101,50,1;15,201,100,2</v>
      </c>
      <c r="I17">
        <v>101</v>
      </c>
      <c r="J17">
        <v>201</v>
      </c>
    </row>
    <row r="18" spans="1:10">
      <c r="A18">
        <v>15</v>
      </c>
      <c r="B18" t="str">
        <f t="shared" si="3"/>
        <v>16,4,26</v>
      </c>
      <c r="C18" s="2">
        <v>16</v>
      </c>
      <c r="D18" s="2">
        <v>4</v>
      </c>
      <c r="E18" s="2">
        <v>26</v>
      </c>
      <c r="F18" t="str">
        <f t="shared" si="4"/>
        <v>16,4,1.5,1,1;16,6,1.2,1,1;16,8,1.2,1,1;16,10,1.1,1,2;16,12,1.1,1,2;16+4,14,1,1,2;16+4,15+8,1,2,3;16+4,17+9,1,3,4;16+4,20+10,0.9,3,4;16+4,22+12,0.9,3,4;16+4,27+20,0.9,3,4;16+4,30+23,0.9,3,4;16+4+26,32+24+3,0.8,3,4;16+4+26,30+25+8,0.8,3,4;16+4+26,35+25+12,0.8,4,5;16+4+26,40+28+15,0.7,4,5;16+4+26,45+30+20,0.7,4,5;16+4+26,50+35+22,0.6,4,6;16+4+26,53+38+28,0.5,5,6;16+4+26,58+40+33,0.5,5,6;</v>
      </c>
      <c r="G18" t="s">
        <v>473</v>
      </c>
      <c r="H18" t="str">
        <f t="shared" si="2"/>
        <v>7,102,50,1;15,202,100,2</v>
      </c>
      <c r="I18">
        <v>102</v>
      </c>
      <c r="J18">
        <v>202</v>
      </c>
    </row>
    <row r="19" spans="1:10">
      <c r="A19">
        <v>16</v>
      </c>
      <c r="B19" t="str">
        <f t="shared" si="3"/>
        <v>17,16,28</v>
      </c>
      <c r="C19" s="2">
        <v>17</v>
      </c>
      <c r="D19" s="2">
        <v>16</v>
      </c>
      <c r="E19" s="2">
        <v>28</v>
      </c>
      <c r="F19" t="str">
        <f t="shared" si="4"/>
        <v>17,4,1.5,1,1;17,6,1.2,1,1;17,8,1.2,1,1;17,10,1.1,1,2;17,12,1.1,1,2;17+16,14,1,1,2;17+16,15+8,1,2,3;17+16,17+9,1,3,4;17+16,20+10,0.9,3,4;17+16,22+12,0.9,3,4;17+16,27+20,0.9,3,4;17+16,30+23,0.9,3,4;17+16+28,32+24+3,0.8,3,4;17+16+28,30+25+8,0.8,3,4;17+16+28,35+25+12,0.8,4,5;17+16+28,40+28+15,0.7,4,5;17+16+28,45+30+20,0.7,4,5;17+16+28,50+35+22,0.6,4,6;17+16+28,53+38+28,0.5,5,6;17+16+28,58+40+33,0.5,5,6;</v>
      </c>
      <c r="G19" t="s">
        <v>473</v>
      </c>
      <c r="H19" t="str">
        <f t="shared" si="2"/>
        <v>7,101,50,1;15,203,100,2</v>
      </c>
      <c r="I19">
        <v>101</v>
      </c>
      <c r="J19">
        <v>203</v>
      </c>
    </row>
    <row r="20" spans="1:10">
      <c r="A20">
        <v>17</v>
      </c>
      <c r="B20" t="str">
        <f t="shared" si="3"/>
        <v>18,20,3</v>
      </c>
      <c r="C20" s="2">
        <v>18</v>
      </c>
      <c r="D20" s="2">
        <v>20</v>
      </c>
      <c r="E20" s="2">
        <v>3</v>
      </c>
      <c r="F20" t="str">
        <f t="shared" ref="F20:F83" si="5">SUBSTITUTE(SUBSTITUTE(SUBSTITUTE(G20,101,C20),102,D20),103,E20)</f>
        <v>18,4,1.5,1,1;18,6,1.2,1,1;18,8,1.2,1,1;18,10,1.1,1,2;18,12,1.1,1,2;18+20,14,1,1,2;18+20,15+8,1,2,3;18+20,17+9,1,3,4;18+20,20+10,0.9,3,4;18+20,22+12,0.9,3,4;18+20,27+20,0.9,3,4;18+20,30+23,0.9,3,4;18+20+3,32+24+3,0.8,3,4;18+20+3,30+25+8,0.8,3,4;18+20+3,35+25+12,0.8,4,5;18+20+3,40+28+15,0.7,4,5;18+20+3,45+30+20,0.7,4,5;18+20+3,50+35+22,0.6,4,6;18+20+3,53+38+28,0.5,5,6;18+20+3,58+40+33,0.5,5,6;</v>
      </c>
      <c r="G20" t="s">
        <v>473</v>
      </c>
      <c r="H20" t="str">
        <f t="shared" si="2"/>
        <v>7,102,50,1;15,201,100,2</v>
      </c>
      <c r="I20">
        <v>102</v>
      </c>
      <c r="J20">
        <v>201</v>
      </c>
    </row>
    <row r="21" spans="1:10">
      <c r="A21">
        <v>18</v>
      </c>
      <c r="B21" t="str">
        <f t="shared" si="3"/>
        <v>19,21,6</v>
      </c>
      <c r="C21" s="2">
        <v>19</v>
      </c>
      <c r="D21" s="2">
        <v>21</v>
      </c>
      <c r="E21" s="2">
        <v>6</v>
      </c>
      <c r="F21" t="str">
        <f t="shared" si="5"/>
        <v>19,4,1.5,1,1;19,6,1.2,1,1;19,8,1.2,1,1;19,10,1.1,1,2;19,12,1.1,1,2;19+21,14,1,1,2;19+21,15+8,1,2,3;19+21,17+9,1,3,4;19+21,20+10,0.9,3,4;19+21,22+12,0.9,3,4;19+21,27+20,0.9,3,4;19+21,30+23,0.9,3,4;19+21+6,32+24+3,0.8,3,4;19+21+6,30+25+8,0.8,3,4;19+21+6,35+25+12,0.8,4,5;19+21+6,40+28+15,0.7,4,5;19+21+6,45+30+20,0.7,4,5;19+21+6,50+35+22,0.6,4,6;19+21+6,53+38+28,0.5,5,6;19+21+6,58+40+33,0.5,5,6;</v>
      </c>
      <c r="G21" t="s">
        <v>473</v>
      </c>
      <c r="H21" t="str">
        <f t="shared" si="2"/>
        <v>7,101,50,1;15,202,100,2</v>
      </c>
      <c r="I21">
        <v>101</v>
      </c>
      <c r="J21">
        <v>202</v>
      </c>
    </row>
    <row r="22" spans="1:10">
      <c r="A22">
        <v>19</v>
      </c>
      <c r="B22" t="str">
        <f t="shared" si="3"/>
        <v>1,22,8</v>
      </c>
      <c r="C22" s="2">
        <v>1</v>
      </c>
      <c r="D22" s="2">
        <v>22</v>
      </c>
      <c r="E22" s="2">
        <v>8</v>
      </c>
      <c r="F22" t="str">
        <f t="shared" si="5"/>
        <v>1,4,1.5,1,1;1,6,1.2,1,1;1,8,1.2,1,1;1,10,1.1,1,2;1,12,1.1,1,2;1+22,14,1,1,2;1+22,15+8,1,2,3;1+22,17+9,1,3,4;1+22,20+10,0.9,3,4;1+22,22+12,0.9,3,4;1+22,27+20,0.9,3,4;1+22,30+23,0.9,3,4;1+22+8,32+24+3,0.8,3,4;1+22+8,30+25+8,0.8,3,4;1+22+8,35+25+12,0.8,4,5;1+22+8,40+28+15,0.7,4,5;1+22+8,45+30+20,0.7,4,5;1+22+8,50+35+22,0.6,4,6;1+22+8,53+38+28,0.5,5,6;1+22+8,58+40+33,0.5,5,6;</v>
      </c>
      <c r="G22" t="s">
        <v>473</v>
      </c>
      <c r="H22" t="str">
        <f t="shared" si="2"/>
        <v>7,102,50,1;15,203,100,2</v>
      </c>
      <c r="I22">
        <v>102</v>
      </c>
      <c r="J22">
        <v>203</v>
      </c>
    </row>
    <row r="23" spans="1:10">
      <c r="A23">
        <v>20</v>
      </c>
      <c r="B23" t="str">
        <f t="shared" si="3"/>
        <v>5,24,10</v>
      </c>
      <c r="C23" s="2">
        <v>5</v>
      </c>
      <c r="D23" s="2">
        <v>24</v>
      </c>
      <c r="E23" s="2">
        <v>10</v>
      </c>
      <c r="F23" t="str">
        <f t="shared" si="5"/>
        <v>5,4,1.5,1,1;5,6,1.2,1,1;5,8,1.2,1,1;5,10,1.1,1,2;5,12,1.1,1,2;5+24,14,1,1,2;5+24,15+8,1,2,3;5+24,17+9,1,3,4;5+24,20+10,0.9,3,4;5+24,22+12,0.9,3,4;5+24,27+20,0.9,3,4;5+24,30+23,0.9,3,4;5+24+10,32+24+3,0.8,3,4;5+24+10,30+25+8,0.8,3,4;5+24+10,35+25+12,0.8,4,5;5+24+10,40+28+15,0.7,4,5;5+24+10,45+30+20,0.7,4,5;5+24+10,50+35+22,0.6,4,6;5+24+10,53+38+28,0.5,5,6;5+24+10,58+40+33,0.5,5,6;</v>
      </c>
      <c r="G23" t="s">
        <v>473</v>
      </c>
      <c r="H23" t="str">
        <f t="shared" si="2"/>
        <v>7,101,50,1;15,201,100,2</v>
      </c>
      <c r="I23">
        <v>101</v>
      </c>
      <c r="J23">
        <v>201</v>
      </c>
    </row>
    <row r="24" spans="1:10">
      <c r="A24">
        <v>21</v>
      </c>
      <c r="B24" t="str">
        <f t="shared" si="3"/>
        <v>7,25,11</v>
      </c>
      <c r="C24" s="2">
        <v>7</v>
      </c>
      <c r="D24" s="2">
        <v>25</v>
      </c>
      <c r="E24" s="2">
        <v>11</v>
      </c>
      <c r="F24" t="str">
        <f t="shared" si="5"/>
        <v>7,4,1.5,1,1;7,6,1.2,1,1;7,8,1.2,1,1;7,10,1.1,1,2;7,12,1.1,1,2;7+25,14,1,1,2;7+25,15+8,1,2,3;7+25,17+9,1,3,4;7+25,20+10,0.9,3,4;7+25,22+12,0.9,3,4;7+25,27+20,0.9,3,4;7+25,30+23,0.9,3,4;7+25+11,32+24+3,0.8,3,4;7+25+11,30+25+8,0.8,3,4;7+25+11,35+25+12,0.8,4,5;7+25+11,40+28+15,0.7,4,5;7+25+11,45+30+20,0.7,4,5;7+25+11,50+35+22,0.6,4,6;7+25+11,53+38+28,0.5,5,6;7+25+11,58+40+33,0.5,5,6;</v>
      </c>
      <c r="G24" t="s">
        <v>473</v>
      </c>
      <c r="H24" t="str">
        <f t="shared" si="2"/>
        <v>7,102,50,1;15,202,100,2</v>
      </c>
      <c r="I24">
        <v>102</v>
      </c>
      <c r="J24">
        <v>202</v>
      </c>
    </row>
    <row r="25" spans="1:10">
      <c r="A25">
        <v>22</v>
      </c>
      <c r="B25" t="str">
        <f t="shared" si="3"/>
        <v>13,26,23</v>
      </c>
      <c r="C25" s="2">
        <v>13</v>
      </c>
      <c r="D25" s="2">
        <v>26</v>
      </c>
      <c r="E25" s="2">
        <v>23</v>
      </c>
      <c r="F25" t="str">
        <f t="shared" si="5"/>
        <v>13,4,1.5,1,1;13,6,1.2,1,1;13,8,1.2,1,1;13,10,1.1,1,2;13,12,1.1,1,2;13+26,14,1,1,2;13+26,15+8,1,2,3;13+26,17+9,1,3,4;13+26,20+10,0.9,3,4;13+26,22+12,0.9,3,4;13+26,27+20,0.9,3,4;13+26,30+23,0.9,3,4;13+26+23,32+24+3,0.8,3,4;13+26+23,30+25+8,0.8,3,4;13+26+23,35+25+12,0.8,4,5;13+26+23,40+28+15,0.7,4,5;13+26+23,45+30+20,0.7,4,5;13+26+23,50+35+22,0.6,4,6;13+26+23,53+38+28,0.5,5,6;13+26+23,58+40+33,0.5,5,6;</v>
      </c>
      <c r="G25" t="s">
        <v>473</v>
      </c>
      <c r="H25" t="str">
        <f t="shared" si="2"/>
        <v>7,101,50,1;15,203,100,2</v>
      </c>
      <c r="I25">
        <v>101</v>
      </c>
      <c r="J25">
        <v>203</v>
      </c>
    </row>
    <row r="26" spans="1:10">
      <c r="A26">
        <v>23</v>
      </c>
      <c r="B26" t="str">
        <f t="shared" si="3"/>
        <v>14,2,26</v>
      </c>
      <c r="C26" s="2">
        <v>14</v>
      </c>
      <c r="D26" s="2">
        <v>2</v>
      </c>
      <c r="E26" s="2">
        <v>26</v>
      </c>
      <c r="F26" t="str">
        <f t="shared" si="5"/>
        <v>14,4,1.5,1,1;14,6,1.2,1,1;14,8,1.2,1,1;14,10,1.1,1,2;14,12,1.1,1,2;14+2,14,1,1,2;14+2,15+8,1,2,3;14+2,17+9,1,3,4;14+2,20+10,0.9,3,4;14+2,22+12,0.9,3,4;14+2,27+20,0.9,3,4;14+2,30+23,0.9,3,4;14+2+26,32+24+3,0.8,3,4;14+2+26,30+25+8,0.8,3,4;14+2+26,35+25+12,0.8,4,5;14+2+26,40+28+15,0.7,4,5;14+2+26,45+30+20,0.7,4,5;14+2+26,50+35+22,0.6,4,6;14+2+26,53+38+28,0.5,5,6;14+2+26,58+40+33,0.5,5,6;</v>
      </c>
      <c r="G26" t="s">
        <v>473</v>
      </c>
      <c r="H26" t="str">
        <f t="shared" si="2"/>
        <v>7,102,50,1;15,201,100,2</v>
      </c>
      <c r="I26">
        <v>102</v>
      </c>
      <c r="J26">
        <v>201</v>
      </c>
    </row>
    <row r="27" spans="1:10">
      <c r="A27">
        <v>24</v>
      </c>
      <c r="B27" t="str">
        <f t="shared" si="3"/>
        <v>16,5,28</v>
      </c>
      <c r="C27" s="2">
        <v>16</v>
      </c>
      <c r="D27" s="2">
        <v>5</v>
      </c>
      <c r="E27" s="2">
        <v>28</v>
      </c>
      <c r="F27" t="str">
        <f t="shared" si="5"/>
        <v>16,4,1.5,1,1;16,6,1.2,1,1;16,8,1.2,1,1;16,10,1.1,1,2;16,12,1.1,1,2;16+5,14,1,1,2;16+5,15+8,1,2,3;16+5,17+9,1,3,4;16+5,20+10,0.9,3,4;16+5,22+12,0.9,3,4;16+5,27+20,0.9,3,4;16+5,30+23,0.9,3,4;16+5+28,32+24+3,0.8,3,4;16+5+28,30+25+8,0.8,3,4;16+5+28,35+25+12,0.8,4,5;16+5+28,40+28+15,0.7,4,5;16+5+28,45+30+20,0.7,4,5;16+5+28,50+35+22,0.6,4,6;16+5+28,53+38+28,0.5,5,6;16+5+28,58+40+33,0.5,5,6;</v>
      </c>
      <c r="G27" t="s">
        <v>473</v>
      </c>
      <c r="H27" t="str">
        <f t="shared" si="2"/>
        <v>7,101,50,1;15,202,100,2</v>
      </c>
      <c r="I27">
        <v>101</v>
      </c>
      <c r="J27">
        <v>202</v>
      </c>
    </row>
    <row r="28" spans="1:10">
      <c r="A28">
        <v>25</v>
      </c>
      <c r="B28" t="str">
        <f t="shared" si="3"/>
        <v>17,9,3</v>
      </c>
      <c r="C28" s="2">
        <v>17</v>
      </c>
      <c r="D28" s="2">
        <v>9</v>
      </c>
      <c r="E28" s="2">
        <v>3</v>
      </c>
      <c r="F28" t="str">
        <f t="shared" si="5"/>
        <v>17,4,1.5,1,1;17,6,1.2,1,1;17,8,1.2,1,1;17,10,1.1,1,2;17,12,1.1,1,2;17+9,14,1,1,2;17+9,15+8,1,2,3;17+9,17+9,1,3,4;17+9,20+10,0.9,3,4;17+9,22+12,0.9,3,4;17+9,27+20,0.9,3,4;17+9,30+23,0.9,3,4;17+9+3,32+24+3,0.8,3,4;17+9+3,30+25+8,0.8,3,4;17+9+3,35+25+12,0.8,4,5;17+9+3,40+28+15,0.7,4,5;17+9+3,45+30+20,0.7,4,5;17+9+3,50+35+22,0.6,4,6;17+9+3,53+38+28,0.5,5,6;17+9+3,58+40+33,0.5,5,6;</v>
      </c>
      <c r="G28" t="s">
        <v>473</v>
      </c>
      <c r="H28" t="str">
        <f t="shared" si="2"/>
        <v>7,102,50,1;15,203,100,2</v>
      </c>
      <c r="I28">
        <v>102</v>
      </c>
      <c r="J28">
        <v>203</v>
      </c>
    </row>
    <row r="29" spans="1:10">
      <c r="A29">
        <v>26</v>
      </c>
      <c r="B29" t="str">
        <f t="shared" si="3"/>
        <v>18,12,6</v>
      </c>
      <c r="C29" s="2">
        <v>18</v>
      </c>
      <c r="D29" s="2">
        <v>12</v>
      </c>
      <c r="E29" s="2">
        <v>6</v>
      </c>
      <c r="F29" t="str">
        <f t="shared" si="5"/>
        <v>18,4,1.5,1,1;18,6,1.2,1,1;18,8,1.2,1,1;18,10,1.1,1,2;18,12,1.1,1,2;18+12,14,1,1,2;18+12,15+8,1,2,3;18+12,17+9,1,3,4;18+12,20+10,0.9,3,4;18+12,22+12,0.9,3,4;18+12,27+20,0.9,3,4;18+12,30+23,0.9,3,4;18+12+6,32+24+3,0.8,3,4;18+12+6,30+25+8,0.8,3,4;18+12+6,35+25+12,0.8,4,5;18+12+6,40+28+15,0.7,4,5;18+12+6,45+30+20,0.7,4,5;18+12+6,50+35+22,0.6,4,6;18+12+6,53+38+28,0.5,5,6;18+12+6,58+40+33,0.5,5,6;</v>
      </c>
      <c r="G29" t="s">
        <v>473</v>
      </c>
      <c r="H29" t="str">
        <f t="shared" si="2"/>
        <v>7,101,50,1;15,201,100,2</v>
      </c>
      <c r="I29">
        <v>101</v>
      </c>
      <c r="J29">
        <v>201</v>
      </c>
    </row>
    <row r="30" spans="1:10">
      <c r="A30">
        <v>27</v>
      </c>
      <c r="B30" t="str">
        <f t="shared" si="3"/>
        <v>19,15,8</v>
      </c>
      <c r="C30" s="2">
        <v>19</v>
      </c>
      <c r="D30" s="2">
        <v>15</v>
      </c>
      <c r="E30" s="2">
        <v>8</v>
      </c>
      <c r="F30" t="str">
        <f t="shared" si="5"/>
        <v>19,4,1.5,1,1;19,6,1.2,1,1;19,8,1.2,1,1;19,10,1.1,1,2;19,12,1.1,1,2;19+15,14,1,1,2;19+15,15+8,1,2,3;19+15,17+9,1,3,4;19+15,20+10,0.9,3,4;19+15,22+12,0.9,3,4;19+15,27+20,0.9,3,4;19+15,30+23,0.9,3,4;19+15+8,32+24+3,0.8,3,4;19+15+8,30+25+8,0.8,3,4;19+15+8,35+25+12,0.8,4,5;19+15+8,40+28+15,0.7,4,5;19+15+8,45+30+20,0.7,4,5;19+15+8,50+35+22,0.6,4,6;19+15+8,53+38+28,0.5,5,6;19+15+8,58+40+33,0.5,5,6;</v>
      </c>
      <c r="G30" t="s">
        <v>473</v>
      </c>
      <c r="H30" t="str">
        <f t="shared" si="2"/>
        <v>7,102,50,1;15,202,100,2</v>
      </c>
      <c r="I30">
        <v>102</v>
      </c>
      <c r="J30">
        <v>202</v>
      </c>
    </row>
    <row r="31" spans="1:10">
      <c r="A31">
        <v>28</v>
      </c>
      <c r="B31" t="str">
        <f t="shared" si="3"/>
        <v>1,20,10</v>
      </c>
      <c r="C31" s="2">
        <v>1</v>
      </c>
      <c r="D31" s="2">
        <v>20</v>
      </c>
      <c r="E31" s="2">
        <v>10</v>
      </c>
      <c r="F31" t="str">
        <f t="shared" si="5"/>
        <v>1,4,1.5,1,1;1,6,1.2,1,1;1,8,1.2,1,1;1,10,1.1,1,2;1,12,1.1,1,2;1+20,14,1,1,2;1+20,15+8,1,2,3;1+20,17+9,1,3,4;1+20,20+10,0.9,3,4;1+20,22+12,0.9,3,4;1+20,27+20,0.9,3,4;1+20,30+23,0.9,3,4;1+20+10,32+24+3,0.8,3,4;1+20+10,30+25+8,0.8,3,4;1+20+10,35+25+12,0.8,4,5;1+20+10,40+28+15,0.7,4,5;1+20+10,45+30+20,0.7,4,5;1+20+10,50+35+22,0.6,4,6;1+20+10,53+38+28,0.5,5,6;1+20+10,58+40+33,0.5,5,6;</v>
      </c>
      <c r="G31" t="s">
        <v>473</v>
      </c>
      <c r="H31" t="str">
        <f t="shared" si="2"/>
        <v>7,101,50,1;15,203,100,2</v>
      </c>
      <c r="I31">
        <v>101</v>
      </c>
      <c r="J31">
        <v>203</v>
      </c>
    </row>
    <row r="32" spans="1:10">
      <c r="A32">
        <v>29</v>
      </c>
      <c r="B32" t="str">
        <f t="shared" si="3"/>
        <v>5,21,11</v>
      </c>
      <c r="C32" s="2">
        <v>5</v>
      </c>
      <c r="D32" s="2">
        <v>21</v>
      </c>
      <c r="E32" s="2">
        <v>11</v>
      </c>
      <c r="F32" t="str">
        <f t="shared" si="5"/>
        <v>5,4,1.5,1,1;5,6,1.2,1,1;5,8,1.2,1,1;5,10,1.1,1,2;5,12,1.1,1,2;5+21,14,1,1,2;5+21,15+8,1,2,3;5+21,17+9,1,3,4;5+21,20+10,0.9,3,4;5+21,22+12,0.9,3,4;5+21,27+20,0.9,3,4;5+21,30+23,0.9,3,4;5+21+11,32+24+3,0.8,3,4;5+21+11,30+25+8,0.8,3,4;5+21+11,35+25+12,0.8,4,5;5+21+11,40+28+15,0.7,4,5;5+21+11,45+30+20,0.7,4,5;5+21+11,50+35+22,0.6,4,6;5+21+11,53+38+28,0.5,5,6;5+21+11,58+40+33,0.5,5,6;</v>
      </c>
      <c r="G32" t="s">
        <v>473</v>
      </c>
      <c r="H32" t="str">
        <f t="shared" si="2"/>
        <v>7,102,50,1;15,201,100,2</v>
      </c>
      <c r="I32">
        <v>102</v>
      </c>
      <c r="J32">
        <v>201</v>
      </c>
    </row>
    <row r="33" spans="1:10">
      <c r="A33">
        <v>30</v>
      </c>
      <c r="B33" t="str">
        <f t="shared" si="3"/>
        <v>7,22,23</v>
      </c>
      <c r="C33" s="2">
        <v>7</v>
      </c>
      <c r="D33" s="2">
        <v>22</v>
      </c>
      <c r="E33" s="2">
        <v>23</v>
      </c>
      <c r="F33" t="str">
        <f t="shared" si="5"/>
        <v>7,4,1.5,1,1;7,6,1.2,1,1;7,8,1.2,1,1;7,10,1.1,1,2;7,12,1.1,1,2;7+22,14,1,1,2;7+22,15+8,1,2,3;7+22,17+9,1,3,4;7+22,20+10,0.9,3,4;7+22,22+12,0.9,3,4;7+22,27+20,0.9,3,4;7+22,30+23,0.9,3,4;7+22+23,32+24+3,0.8,3,4;7+22+23,30+25+8,0.8,3,4;7+22+23,35+25+12,0.8,4,5;7+22+23,40+28+15,0.7,4,5;7+22+23,45+30+20,0.7,4,5;7+22+23,50+35+22,0.6,4,6;7+22+23,53+38+28,0.5,5,6;7+22+23,58+40+33,0.5,5,6;</v>
      </c>
      <c r="G33" t="s">
        <v>473</v>
      </c>
      <c r="H33" t="str">
        <f t="shared" si="2"/>
        <v>7,101,50,1;15,202,100,2</v>
      </c>
      <c r="I33">
        <v>101</v>
      </c>
      <c r="J33">
        <v>202</v>
      </c>
    </row>
    <row r="34" spans="1:10">
      <c r="A34">
        <v>31</v>
      </c>
      <c r="B34" t="str">
        <f t="shared" si="3"/>
        <v>13,24,26</v>
      </c>
      <c r="C34" s="2">
        <v>13</v>
      </c>
      <c r="D34" s="2">
        <v>24</v>
      </c>
      <c r="E34" s="2">
        <v>26</v>
      </c>
      <c r="F34" t="str">
        <f t="shared" si="5"/>
        <v>13,4,1.5,1,1;13,6,1.2,1,1;13,8,1.2,1,1;13,10,1.1,1,2;13,12,1.1,1,2;13+24,14,1,1,2;13+24,15+8,1,2,3;13+24,17+9,1,3,4;13+24,20+10,0.9,3,4;13+24,22+12,0.9,3,4;13+24,27+20,0.9,3,4;13+24,30+23,0.9,3,4;13+24+26,32+24+3,0.8,3,4;13+24+26,30+25+8,0.8,3,4;13+24+26,35+25+12,0.8,4,5;13+24+26,40+28+15,0.7,4,5;13+24+26,45+30+20,0.7,4,5;13+24+26,50+35+22,0.6,4,6;13+24+26,53+38+28,0.5,5,6;13+24+26,58+40+33,0.5,5,6;</v>
      </c>
      <c r="G34" t="s">
        <v>473</v>
      </c>
      <c r="H34" t="str">
        <f t="shared" si="2"/>
        <v>7,102,50,1;15,203,100,2</v>
      </c>
      <c r="I34">
        <v>102</v>
      </c>
      <c r="J34">
        <v>203</v>
      </c>
    </row>
    <row r="35" spans="1:10">
      <c r="A35">
        <v>32</v>
      </c>
      <c r="B35" t="str">
        <f t="shared" si="3"/>
        <v>13,25,28</v>
      </c>
      <c r="C35" s="2">
        <v>13</v>
      </c>
      <c r="D35" s="2">
        <v>25</v>
      </c>
      <c r="E35" s="2">
        <v>28</v>
      </c>
      <c r="F35" t="str">
        <f t="shared" si="5"/>
        <v>13,4,1.5,1,1;13,6,1.2,1,1;13,8,1.2,1,1;13,10,1.1,1,2;13,12,1.1,1,2;13+25,14,1,1,2;13+25,15+8,1,2,3;13+25,17+9,1,3,4;13+25,20+10,0.9,3,4;13+25,22+12,0.9,3,4;13+25,27+20,0.9,3,4;13+25,30+23,0.9,3,4;13+25+28,32+24+3,0.8,3,4;13+25+28,30+25+8,0.8,3,4;13+25+28,35+25+12,0.8,4,5;13+25+28,40+28+15,0.7,4,5;13+25+28,45+30+20,0.7,4,5;13+25+28,50+35+22,0.6,4,6;13+25+28,53+38+28,0.5,5,6;13+25+28,58+40+33,0.5,5,6;</v>
      </c>
      <c r="G35" t="s">
        <v>473</v>
      </c>
      <c r="H35" t="str">
        <f t="shared" si="2"/>
        <v>7,101,50,1;15,201,100,2</v>
      </c>
      <c r="I35">
        <v>101</v>
      </c>
      <c r="J35">
        <v>201</v>
      </c>
    </row>
    <row r="36" spans="1:10">
      <c r="A36">
        <v>33</v>
      </c>
      <c r="B36" t="str">
        <f t="shared" si="3"/>
        <v>16,25,3</v>
      </c>
      <c r="C36" s="2">
        <v>16</v>
      </c>
      <c r="D36" s="2">
        <v>25</v>
      </c>
      <c r="E36" s="2">
        <v>3</v>
      </c>
      <c r="F36" t="str">
        <f t="shared" si="5"/>
        <v>16,4,1.5,1,1;16,6,1.2,1,1;16,8,1.2,1,1;16,10,1.1,1,2;16,12,1.1,1,2;16+25,14,1,1,2;16+25,15+8,1,2,3;16+25,17+9,1,3,4;16+25,20+10,0.9,3,4;16+25,22+12,0.9,3,4;16+25,27+20,0.9,3,4;16+25,30+23,0.9,3,4;16+25+3,32+24+3,0.8,3,4;16+25+3,30+25+8,0.8,3,4;16+25+3,35+25+12,0.8,4,5;16+25+3,40+28+15,0.7,4,5;16+25+3,45+30+20,0.7,4,5;16+25+3,50+35+22,0.6,4,6;16+25+3,53+38+28,0.5,5,6;16+25+3,58+40+33,0.5,5,6;</v>
      </c>
      <c r="G36" t="s">
        <v>473</v>
      </c>
      <c r="H36" t="str">
        <f t="shared" si="2"/>
        <v>7,102,50,1;15,202,100,2</v>
      </c>
      <c r="I36">
        <v>102</v>
      </c>
      <c r="J36">
        <v>202</v>
      </c>
    </row>
    <row r="37" spans="1:10">
      <c r="A37">
        <v>34</v>
      </c>
      <c r="B37" t="str">
        <f t="shared" si="3"/>
        <v>17,2,6</v>
      </c>
      <c r="C37" s="2">
        <v>17</v>
      </c>
      <c r="D37" s="2">
        <v>2</v>
      </c>
      <c r="E37" s="2">
        <v>6</v>
      </c>
      <c r="F37" t="str">
        <f t="shared" si="5"/>
        <v>17,4,1.5,1,1;17,6,1.2,1,1;17,8,1.2,1,1;17,10,1.1,1,2;17,12,1.1,1,2;17+2,14,1,1,2;17+2,15+8,1,2,3;17+2,17+9,1,3,4;17+2,20+10,0.9,3,4;17+2,22+12,0.9,3,4;17+2,27+20,0.9,3,4;17+2,30+23,0.9,3,4;17+2+6,32+24+3,0.8,3,4;17+2+6,30+25+8,0.8,3,4;17+2+6,35+25+12,0.8,4,5;17+2+6,40+28+15,0.7,4,5;17+2+6,45+30+20,0.7,4,5;17+2+6,50+35+22,0.6,4,6;17+2+6,53+38+28,0.5,5,6;17+2+6,58+40+33,0.5,5,6;</v>
      </c>
      <c r="G37" t="s">
        <v>473</v>
      </c>
      <c r="H37" t="str">
        <f t="shared" si="2"/>
        <v>7,101,50,1;15,203,100,2</v>
      </c>
      <c r="I37">
        <v>101</v>
      </c>
      <c r="J37">
        <v>203</v>
      </c>
    </row>
    <row r="38" spans="1:10">
      <c r="A38">
        <v>35</v>
      </c>
      <c r="B38" t="str">
        <f t="shared" si="3"/>
        <v>18,4,8</v>
      </c>
      <c r="C38" s="2">
        <v>18</v>
      </c>
      <c r="D38" s="2">
        <v>4</v>
      </c>
      <c r="E38" s="2">
        <v>8</v>
      </c>
      <c r="F38" t="str">
        <f t="shared" si="5"/>
        <v>18,4,1.5,1,1;18,6,1.2,1,1;18,8,1.2,1,1;18,10,1.1,1,2;18,12,1.1,1,2;18+4,14,1,1,2;18+4,15+8,1,2,3;18+4,17+9,1,3,4;18+4,20+10,0.9,3,4;18+4,22+12,0.9,3,4;18+4,27+20,0.9,3,4;18+4,30+23,0.9,3,4;18+4+8,32+24+3,0.8,3,4;18+4+8,30+25+8,0.8,3,4;18+4+8,35+25+12,0.8,4,5;18+4+8,40+28+15,0.7,4,5;18+4+8,45+30+20,0.7,4,5;18+4+8,50+35+22,0.6,4,6;18+4+8,53+38+28,0.5,5,6;18+4+8,58+40+33,0.5,5,6;</v>
      </c>
      <c r="G38" t="s">
        <v>473</v>
      </c>
      <c r="H38" t="str">
        <f t="shared" si="2"/>
        <v>7,102,50,1;15,201,100,2</v>
      </c>
      <c r="I38">
        <v>102</v>
      </c>
      <c r="J38">
        <v>201</v>
      </c>
    </row>
    <row r="39" spans="1:10">
      <c r="A39">
        <v>36</v>
      </c>
      <c r="B39" t="str">
        <f t="shared" si="3"/>
        <v>19,9,10</v>
      </c>
      <c r="C39" s="2">
        <v>19</v>
      </c>
      <c r="D39" s="2">
        <v>9</v>
      </c>
      <c r="E39" s="2">
        <v>10</v>
      </c>
      <c r="F39" t="str">
        <f t="shared" si="5"/>
        <v>19,4,1.5,1,1;19,6,1.2,1,1;19,8,1.2,1,1;19,10,1.1,1,2;19,12,1.1,1,2;19+9,14,1,1,2;19+9,15+8,1,2,3;19+9,17+9,1,3,4;19+9,20+10,0.9,3,4;19+9,22+12,0.9,3,4;19+9,27+20,0.9,3,4;19+9,30+23,0.9,3,4;19+9+10,32+24+3,0.8,3,4;19+9+10,30+25+8,0.8,3,4;19+9+10,35+25+12,0.8,4,5;19+9+10,40+28+15,0.7,4,5;19+9+10,45+30+20,0.7,4,5;19+9+10,50+35+22,0.6,4,6;19+9+10,53+38+28,0.5,5,6;19+9+10,58+40+33,0.5,5,6;</v>
      </c>
      <c r="G39" t="s">
        <v>473</v>
      </c>
      <c r="H39" t="str">
        <f t="shared" si="2"/>
        <v>7,101,50,1;15,202,100,2</v>
      </c>
      <c r="I39">
        <v>101</v>
      </c>
      <c r="J39">
        <v>202</v>
      </c>
    </row>
    <row r="40" spans="1:10">
      <c r="A40">
        <v>37</v>
      </c>
      <c r="B40" t="str">
        <f t="shared" si="3"/>
        <v>1,12,11</v>
      </c>
      <c r="C40" s="2">
        <v>1</v>
      </c>
      <c r="D40" s="2">
        <v>12</v>
      </c>
      <c r="E40" s="2">
        <v>11</v>
      </c>
      <c r="F40" t="str">
        <f t="shared" si="5"/>
        <v>1,4,1.5,1,1;1,6,1.2,1,1;1,8,1.2,1,1;1,10,1.1,1,2;1,12,1.1,1,2;1+12,14,1,1,2;1+12,15+8,1,2,3;1+12,17+9,1,3,4;1+12,20+10,0.9,3,4;1+12,22+12,0.9,3,4;1+12,27+20,0.9,3,4;1+12,30+23,0.9,3,4;1+12+11,32+24+3,0.8,3,4;1+12+11,30+25+8,0.8,3,4;1+12+11,35+25+12,0.8,4,5;1+12+11,40+28+15,0.7,4,5;1+12+11,45+30+20,0.7,4,5;1+12+11,50+35+22,0.6,4,6;1+12+11,53+38+28,0.5,5,6;1+12+11,58+40+33,0.5,5,6;</v>
      </c>
      <c r="G40" t="s">
        <v>473</v>
      </c>
      <c r="H40" t="str">
        <f t="shared" si="2"/>
        <v>7,102,50,1;15,203,100,2</v>
      </c>
      <c r="I40">
        <v>102</v>
      </c>
      <c r="J40">
        <v>203</v>
      </c>
    </row>
    <row r="41" spans="1:10">
      <c r="A41">
        <v>38</v>
      </c>
      <c r="B41" t="str">
        <f t="shared" si="3"/>
        <v>5,18,23</v>
      </c>
      <c r="C41" s="2">
        <v>5</v>
      </c>
      <c r="D41" s="2">
        <v>18</v>
      </c>
      <c r="E41" s="2">
        <v>23</v>
      </c>
      <c r="F41" t="str">
        <f t="shared" si="5"/>
        <v>5,4,1.5,1,1;5,6,1.2,1,1;5,8,1.2,1,1;5,10,1.1,1,2;5,12,1.1,1,2;5+18,14,1,1,2;5+18,15+8,1,2,3;5+18,17+9,1,3,4;5+18,20+10,0.9,3,4;5+18,22+12,0.9,3,4;5+18,27+20,0.9,3,4;5+18,30+23,0.9,3,4;5+18+23,32+24+3,0.8,3,4;5+18+23,30+25+8,0.8,3,4;5+18+23,35+25+12,0.8,4,5;5+18+23,40+28+15,0.7,4,5;5+18+23,45+30+20,0.7,4,5;5+18+23,50+35+22,0.6,4,6;5+18+23,53+38+28,0.5,5,6;5+18+23,58+40+33,0.5,5,6;</v>
      </c>
      <c r="G41" t="s">
        <v>473</v>
      </c>
      <c r="H41" t="str">
        <f t="shared" si="2"/>
        <v>7,101,50,1;15,201,100,2</v>
      </c>
      <c r="I41">
        <v>101</v>
      </c>
      <c r="J41">
        <v>201</v>
      </c>
    </row>
    <row r="42" spans="1:10">
      <c r="A42">
        <v>39</v>
      </c>
      <c r="B42" t="str">
        <f t="shared" si="3"/>
        <v>7,20,26</v>
      </c>
      <c r="C42" s="2">
        <v>7</v>
      </c>
      <c r="D42" s="2">
        <v>20</v>
      </c>
      <c r="E42" s="2">
        <v>26</v>
      </c>
      <c r="F42" t="str">
        <f t="shared" si="5"/>
        <v>7,4,1.5,1,1;7,6,1.2,1,1;7,8,1.2,1,1;7,10,1.1,1,2;7,12,1.1,1,2;7+20,14,1,1,2;7+20,15+8,1,2,3;7+20,17+9,1,3,4;7+20,20+10,0.9,3,4;7+20,22+12,0.9,3,4;7+20,27+20,0.9,3,4;7+20,30+23,0.9,3,4;7+20+26,32+24+3,0.8,3,4;7+20+26,30+25+8,0.8,3,4;7+20+26,35+25+12,0.8,4,5;7+20+26,40+28+15,0.7,4,5;7+20+26,45+30+20,0.7,4,5;7+20+26,50+35+22,0.6,4,6;7+20+26,53+38+28,0.5,5,6;7+20+26,58+40+33,0.5,5,6;</v>
      </c>
      <c r="G42" t="s">
        <v>473</v>
      </c>
      <c r="H42" t="str">
        <f t="shared" si="2"/>
        <v>7,102,50,1;15,202,100,2</v>
      </c>
      <c r="I42">
        <v>102</v>
      </c>
      <c r="J42">
        <v>202</v>
      </c>
    </row>
    <row r="43" spans="1:10">
      <c r="A43">
        <v>40</v>
      </c>
      <c r="B43" t="str">
        <f t="shared" si="3"/>
        <v>13,21,28</v>
      </c>
      <c r="C43" s="2">
        <v>13</v>
      </c>
      <c r="D43" s="2">
        <v>21</v>
      </c>
      <c r="E43" s="2">
        <v>28</v>
      </c>
      <c r="F43" t="str">
        <f t="shared" si="5"/>
        <v>13,4,1.5,1,1;13,6,1.2,1,1;13,8,1.2,1,1;13,10,1.1,1,2;13,12,1.1,1,2;13+21,14,1,1,2;13+21,15+8,1,2,3;13+21,17+9,1,3,4;13+21,20+10,0.9,3,4;13+21,22+12,0.9,3,4;13+21,27+20,0.9,3,4;13+21,30+23,0.9,3,4;13+21+28,32+24+3,0.8,3,4;13+21+28,30+25+8,0.8,3,4;13+21+28,35+25+12,0.8,4,5;13+21+28,40+28+15,0.7,4,5;13+21+28,45+30+20,0.7,4,5;13+21+28,50+35+22,0.6,4,6;13+21+28,53+38+28,0.5,5,6;13+21+28,58+40+33,0.5,5,6;</v>
      </c>
      <c r="G43" t="s">
        <v>473</v>
      </c>
      <c r="H43" t="str">
        <f t="shared" si="2"/>
        <v>7,101,50,1;15,203,100,2</v>
      </c>
      <c r="I43">
        <v>101</v>
      </c>
      <c r="J43">
        <v>203</v>
      </c>
    </row>
    <row r="44" spans="1:10">
      <c r="A44">
        <v>41</v>
      </c>
      <c r="B44" t="str">
        <f t="shared" si="3"/>
        <v>19,22,3</v>
      </c>
      <c r="C44" s="2">
        <v>19</v>
      </c>
      <c r="D44" s="2">
        <v>22</v>
      </c>
      <c r="E44" s="2">
        <v>3</v>
      </c>
      <c r="F44" t="str">
        <f t="shared" si="5"/>
        <v>19,4,1.5,1,1;19,6,1.2,1,1;19,8,1.2,1,1;19,10,1.1,1,2;19,12,1.1,1,2;19+22,14,1,1,2;19+22,15+8,1,2,3;19+22,17+9,1,3,4;19+22,20+10,0.9,3,4;19+22,22+12,0.9,3,4;19+22,27+20,0.9,3,4;19+22,30+23,0.9,3,4;19+22+3,32+24+3,0.8,3,4;19+22+3,30+25+8,0.8,3,4;19+22+3,35+25+12,0.8,4,5;19+22+3,40+28+15,0.7,4,5;19+22+3,45+30+20,0.7,4,5;19+22+3,50+35+22,0.6,4,6;19+22+3,53+38+28,0.5,5,6;19+22+3,58+40+33,0.5,5,6;</v>
      </c>
      <c r="G44" t="s">
        <v>473</v>
      </c>
      <c r="H44" t="str">
        <f t="shared" si="2"/>
        <v>7,102,50,1;15,201,100,2</v>
      </c>
      <c r="I44">
        <v>102</v>
      </c>
      <c r="J44">
        <v>201</v>
      </c>
    </row>
    <row r="45" spans="1:10">
      <c r="A45">
        <v>42</v>
      </c>
      <c r="B45" t="str">
        <f t="shared" si="3"/>
        <v>16,24,6</v>
      </c>
      <c r="C45" s="2">
        <v>16</v>
      </c>
      <c r="D45" s="2">
        <v>24</v>
      </c>
      <c r="E45" s="2">
        <v>6</v>
      </c>
      <c r="F45" t="str">
        <f t="shared" si="5"/>
        <v>16,4,1.5,1,1;16,6,1.2,1,1;16,8,1.2,1,1;16,10,1.1,1,2;16,12,1.1,1,2;16+24,14,1,1,2;16+24,15+8,1,2,3;16+24,17+9,1,3,4;16+24,20+10,0.9,3,4;16+24,22+12,0.9,3,4;16+24,27+20,0.9,3,4;16+24,30+23,0.9,3,4;16+24+6,32+24+3,0.8,3,4;16+24+6,30+25+8,0.8,3,4;16+24+6,35+25+12,0.8,4,5;16+24+6,40+28+15,0.7,4,5;16+24+6,45+30+20,0.7,4,5;16+24+6,50+35+22,0.6,4,6;16+24+6,53+38+28,0.5,5,6;16+24+6,58+40+33,0.5,5,6;</v>
      </c>
      <c r="G45" t="s">
        <v>473</v>
      </c>
      <c r="H45" t="str">
        <f t="shared" si="2"/>
        <v>7,101,50,1;15,202,100,2</v>
      </c>
      <c r="I45">
        <v>101</v>
      </c>
      <c r="J45">
        <v>202</v>
      </c>
    </row>
    <row r="46" spans="1:10">
      <c r="A46">
        <v>43</v>
      </c>
      <c r="B46" t="str">
        <f t="shared" si="3"/>
        <v>17,25,8</v>
      </c>
      <c r="C46" s="2">
        <v>17</v>
      </c>
      <c r="D46" s="2">
        <v>25</v>
      </c>
      <c r="E46" s="2">
        <v>8</v>
      </c>
      <c r="F46" t="str">
        <f t="shared" si="5"/>
        <v>17,4,1.5,1,1;17,6,1.2,1,1;17,8,1.2,1,1;17,10,1.1,1,2;17,12,1.1,1,2;17+25,14,1,1,2;17+25,15+8,1,2,3;17+25,17+9,1,3,4;17+25,20+10,0.9,3,4;17+25,22+12,0.9,3,4;17+25,27+20,0.9,3,4;17+25,30+23,0.9,3,4;17+25+8,32+24+3,0.8,3,4;17+25+8,30+25+8,0.8,3,4;17+25+8,35+25+12,0.8,4,5;17+25+8,40+28+15,0.7,4,5;17+25+8,45+30+20,0.7,4,5;17+25+8,50+35+22,0.6,4,6;17+25+8,53+38+28,0.5,5,6;17+25+8,58+40+33,0.5,5,6;</v>
      </c>
      <c r="G46" t="s">
        <v>473</v>
      </c>
      <c r="H46" t="str">
        <f t="shared" si="2"/>
        <v>7,102,50,1;15,203,100,2</v>
      </c>
      <c r="I46">
        <v>102</v>
      </c>
      <c r="J46">
        <v>203</v>
      </c>
    </row>
    <row r="47" spans="1:10">
      <c r="A47">
        <v>44</v>
      </c>
      <c r="B47" t="str">
        <f t="shared" si="3"/>
        <v>18,20,10</v>
      </c>
      <c r="C47" s="2">
        <v>18</v>
      </c>
      <c r="D47" s="2">
        <v>20</v>
      </c>
      <c r="E47" s="2">
        <v>10</v>
      </c>
      <c r="F47" t="str">
        <f t="shared" si="5"/>
        <v>18,4,1.5,1,1;18,6,1.2,1,1;18,8,1.2,1,1;18,10,1.1,1,2;18,12,1.1,1,2;18+20,14,1,1,2;18+20,15+8,1,2,3;18+20,17+9,1,3,4;18+20,20+10,0.9,3,4;18+20,22+12,0.9,3,4;18+20,27+20,0.9,3,4;18+20,30+23,0.9,3,4;18+20+10,32+24+3,0.8,3,4;18+20+10,30+25+8,0.8,3,4;18+20+10,35+25+12,0.8,4,5;18+20+10,40+28+15,0.7,4,5;18+20+10,45+30+20,0.7,4,5;18+20+10,50+35+22,0.6,4,6;18+20+10,53+38+28,0.5,5,6;18+20+10,58+40+33,0.5,5,6;</v>
      </c>
      <c r="G47" t="s">
        <v>473</v>
      </c>
      <c r="H47" t="str">
        <f t="shared" si="2"/>
        <v>7,101,50,1;15,201,100,2</v>
      </c>
      <c r="I47">
        <v>101</v>
      </c>
      <c r="J47">
        <v>201</v>
      </c>
    </row>
    <row r="48" spans="1:10">
      <c r="A48">
        <v>45</v>
      </c>
      <c r="B48" t="str">
        <f t="shared" si="3"/>
        <v>19,2,11</v>
      </c>
      <c r="C48" s="2">
        <v>19</v>
      </c>
      <c r="D48" s="2">
        <v>2</v>
      </c>
      <c r="E48" s="2">
        <v>11</v>
      </c>
      <c r="F48" t="str">
        <f t="shared" si="5"/>
        <v>19,4,1.5,1,1;19,6,1.2,1,1;19,8,1.2,1,1;19,10,1.1,1,2;19,12,1.1,1,2;19+2,14,1,1,2;19+2,15+8,1,2,3;19+2,17+9,1,3,4;19+2,20+10,0.9,3,4;19+2,22+12,0.9,3,4;19+2,27+20,0.9,3,4;19+2,30+23,0.9,3,4;19+2+11,32+24+3,0.8,3,4;19+2+11,30+25+8,0.8,3,4;19+2+11,35+25+12,0.8,4,5;19+2+11,40+28+15,0.7,4,5;19+2+11,45+30+20,0.7,4,5;19+2+11,50+35+22,0.6,4,6;19+2+11,53+38+28,0.5,5,6;19+2+11,58+40+33,0.5,5,6;</v>
      </c>
      <c r="G48" t="s">
        <v>473</v>
      </c>
      <c r="H48" t="str">
        <f t="shared" si="2"/>
        <v>7,102,50,1;15,202,100,2</v>
      </c>
      <c r="I48">
        <v>102</v>
      </c>
      <c r="J48">
        <v>202</v>
      </c>
    </row>
    <row r="49" spans="1:10">
      <c r="A49">
        <v>46</v>
      </c>
      <c r="B49" t="str">
        <f t="shared" si="3"/>
        <v>1,2,23</v>
      </c>
      <c r="C49" s="2">
        <v>1</v>
      </c>
      <c r="D49" s="2">
        <v>2</v>
      </c>
      <c r="E49" s="2">
        <v>23</v>
      </c>
      <c r="F49" t="str">
        <f t="shared" si="5"/>
        <v>1,4,1.5,1,1;1,6,1.2,1,1;1,8,1.2,1,1;1,10,1.1,1,2;1,12,1.1,1,2;1+2,14,1,1,2;1+2,15+8,1,2,3;1+2,17+9,1,3,4;1+2,20+10,0.9,3,4;1+2,22+12,0.9,3,4;1+2,27+20,0.9,3,4;1+2,30+23,0.9,3,4;1+2+23,32+24+3,0.8,3,4;1+2+23,30+25+8,0.8,3,4;1+2+23,35+25+12,0.8,4,5;1+2+23,40+28+15,0.7,4,5;1+2+23,45+30+20,0.7,4,5;1+2+23,50+35+22,0.6,4,6;1+2+23,53+38+28,0.5,5,6;1+2+23,58+40+33,0.5,5,6;</v>
      </c>
      <c r="G49" t="s">
        <v>473</v>
      </c>
      <c r="H49" t="str">
        <f t="shared" si="2"/>
        <v>7,101,50,1;15,203,100,2</v>
      </c>
      <c r="I49">
        <v>101</v>
      </c>
      <c r="J49">
        <v>203</v>
      </c>
    </row>
    <row r="50" spans="1:10">
      <c r="A50">
        <v>47</v>
      </c>
      <c r="B50" t="str">
        <f t="shared" si="3"/>
        <v>5,9,26</v>
      </c>
      <c r="C50" s="2">
        <v>5</v>
      </c>
      <c r="D50" s="2">
        <v>9</v>
      </c>
      <c r="E50" s="2">
        <v>26</v>
      </c>
      <c r="F50" t="str">
        <f t="shared" si="5"/>
        <v>5,4,1.5,1,1;5,6,1.2,1,1;5,8,1.2,1,1;5,10,1.1,1,2;5,12,1.1,1,2;5+9,14,1,1,2;5+9,15+8,1,2,3;5+9,17+9,1,3,4;5+9,20+10,0.9,3,4;5+9,22+12,0.9,3,4;5+9,27+20,0.9,3,4;5+9,30+23,0.9,3,4;5+9+26,32+24+3,0.8,3,4;5+9+26,30+25+8,0.8,3,4;5+9+26,35+25+12,0.8,4,5;5+9+26,40+28+15,0.7,4,5;5+9+26,45+30+20,0.7,4,5;5+9+26,50+35+22,0.6,4,6;5+9+26,53+38+28,0.5,5,6;5+9+26,58+40+33,0.5,5,6;</v>
      </c>
      <c r="G50" t="s">
        <v>473</v>
      </c>
      <c r="H50" t="str">
        <f t="shared" si="2"/>
        <v>7,102,50,1;15,201,100,2</v>
      </c>
      <c r="I50">
        <v>102</v>
      </c>
      <c r="J50">
        <v>201</v>
      </c>
    </row>
    <row r="51" spans="1:10">
      <c r="A51">
        <v>48</v>
      </c>
      <c r="B51" t="str">
        <f t="shared" si="3"/>
        <v>7,12,28</v>
      </c>
      <c r="C51" s="2">
        <v>7</v>
      </c>
      <c r="D51" s="2">
        <v>12</v>
      </c>
      <c r="E51" s="2">
        <v>28</v>
      </c>
      <c r="F51" t="str">
        <f t="shared" si="5"/>
        <v>7,4,1.5,1,1;7,6,1.2,1,1;7,8,1.2,1,1;7,10,1.1,1,2;7,12,1.1,1,2;7+12,14,1,1,2;7+12,15+8,1,2,3;7+12,17+9,1,3,4;7+12,20+10,0.9,3,4;7+12,22+12,0.9,3,4;7+12,27+20,0.9,3,4;7+12,30+23,0.9,3,4;7+12+28,32+24+3,0.8,3,4;7+12+28,30+25+8,0.8,3,4;7+12+28,35+25+12,0.8,4,5;7+12+28,40+28+15,0.7,4,5;7+12+28,45+30+20,0.7,4,5;7+12+28,50+35+22,0.6,4,6;7+12+28,53+38+28,0.5,5,6;7+12+28,58+40+33,0.5,5,6;</v>
      </c>
      <c r="G51" t="s">
        <v>473</v>
      </c>
      <c r="H51" t="str">
        <f t="shared" si="2"/>
        <v>7,101,50,1;15,202,100,2</v>
      </c>
      <c r="I51">
        <v>101</v>
      </c>
      <c r="J51">
        <v>202</v>
      </c>
    </row>
    <row r="52" spans="1:10">
      <c r="A52">
        <v>49</v>
      </c>
      <c r="B52" t="str">
        <f t="shared" si="3"/>
        <v>13,16,3</v>
      </c>
      <c r="C52" s="2">
        <v>13</v>
      </c>
      <c r="D52" s="2">
        <v>16</v>
      </c>
      <c r="E52" s="2">
        <v>3</v>
      </c>
      <c r="F52" t="str">
        <f t="shared" si="5"/>
        <v>13,4,1.5,1,1;13,6,1.2,1,1;13,8,1.2,1,1;13,10,1.1,1,2;13,12,1.1,1,2;13+16,14,1,1,2;13+16,15+8,1,2,3;13+16,17+9,1,3,4;13+16,20+10,0.9,3,4;13+16,22+12,0.9,3,4;13+16,27+20,0.9,3,4;13+16,30+23,0.9,3,4;13+16+3,32+24+3,0.8,3,4;13+16+3,30+25+8,0.8,3,4;13+16+3,35+25+12,0.8,4,5;13+16+3,40+28+15,0.7,4,5;13+16+3,45+30+20,0.7,4,5;13+16+3,50+35+22,0.6,4,6;13+16+3,53+38+28,0.5,5,6;13+16+3,58+40+33,0.5,5,6;</v>
      </c>
      <c r="G52" t="s">
        <v>473</v>
      </c>
      <c r="H52" t="str">
        <f t="shared" si="2"/>
        <v>7,102,50,1;15,203,100,2</v>
      </c>
      <c r="I52">
        <v>102</v>
      </c>
      <c r="J52">
        <v>203</v>
      </c>
    </row>
    <row r="53" spans="1:10">
      <c r="A53">
        <v>50</v>
      </c>
      <c r="B53" t="str">
        <f t="shared" si="3"/>
        <v>14,20,6</v>
      </c>
      <c r="C53" s="2">
        <v>14</v>
      </c>
      <c r="D53" s="2">
        <v>20</v>
      </c>
      <c r="E53" s="2">
        <v>6</v>
      </c>
      <c r="F53" t="str">
        <f t="shared" si="5"/>
        <v>14,4,1.5,1,1;14,6,1.2,1,1;14,8,1.2,1,1;14,10,1.1,1,2;14,12,1.1,1,2;14+20,14,1,1,2;14+20,15+8,1,2,3;14+20,17+9,1,3,4;14+20,20+10,0.9,3,4;14+20,22+12,0.9,3,4;14+20,27+20,0.9,3,4;14+20,30+23,0.9,3,4;14+20+6,32+24+3,0.8,3,4;14+20+6,30+25+8,0.8,3,4;14+20+6,35+25+12,0.8,4,5;14+20+6,40+28+15,0.7,4,5;14+20+6,45+30+20,0.7,4,5;14+20+6,50+35+22,0.6,4,6;14+20+6,53+38+28,0.5,5,6;14+20+6,58+40+33,0.5,5,6;</v>
      </c>
      <c r="G53" t="s">
        <v>473</v>
      </c>
      <c r="H53" t="str">
        <f t="shared" si="2"/>
        <v>7,101,50,1;15,201,100,2</v>
      </c>
      <c r="I53">
        <v>101</v>
      </c>
      <c r="J53">
        <v>201</v>
      </c>
    </row>
    <row r="54" spans="1:10">
      <c r="A54">
        <v>51</v>
      </c>
      <c r="B54" t="str">
        <f t="shared" si="3"/>
        <v>16,21,8</v>
      </c>
      <c r="C54" s="2">
        <v>16</v>
      </c>
      <c r="D54" s="2">
        <v>21</v>
      </c>
      <c r="E54" s="2">
        <v>8</v>
      </c>
      <c r="F54" t="str">
        <f t="shared" si="5"/>
        <v>16,4,1.5,1,1;16,6,1.2,1,1;16,8,1.2,1,1;16,10,1.1,1,2;16,12,1.1,1,2;16+21,14,1,1,2;16+21,15+8,1,2,3;16+21,17+9,1,3,4;16+21,20+10,0.9,3,4;16+21,22+12,0.9,3,4;16+21,27+20,0.9,3,4;16+21,30+23,0.9,3,4;16+21+8,32+24+3,0.8,3,4;16+21+8,30+25+8,0.8,3,4;16+21+8,35+25+12,0.8,4,5;16+21+8,40+28+15,0.7,4,5;16+21+8,45+30+20,0.7,4,5;16+21+8,50+35+22,0.6,4,6;16+21+8,53+38+28,0.5,5,6;16+21+8,58+40+33,0.5,5,6;</v>
      </c>
      <c r="G54" t="s">
        <v>473</v>
      </c>
      <c r="H54" t="str">
        <f t="shared" si="2"/>
        <v>7,102,50,1;15,202,100,2</v>
      </c>
      <c r="I54">
        <v>102</v>
      </c>
      <c r="J54">
        <v>202</v>
      </c>
    </row>
    <row r="55" spans="1:10">
      <c r="A55">
        <v>52</v>
      </c>
      <c r="B55" t="str">
        <f t="shared" si="3"/>
        <v>17,22,10</v>
      </c>
      <c r="C55" s="2">
        <v>17</v>
      </c>
      <c r="D55" s="2">
        <v>22</v>
      </c>
      <c r="E55" s="2">
        <v>10</v>
      </c>
      <c r="F55" t="str">
        <f t="shared" si="5"/>
        <v>17,4,1.5,1,1;17,6,1.2,1,1;17,8,1.2,1,1;17,10,1.1,1,2;17,12,1.1,1,2;17+22,14,1,1,2;17+22,15+8,1,2,3;17+22,17+9,1,3,4;17+22,20+10,0.9,3,4;17+22,22+12,0.9,3,4;17+22,27+20,0.9,3,4;17+22,30+23,0.9,3,4;17+22+10,32+24+3,0.8,3,4;17+22+10,30+25+8,0.8,3,4;17+22+10,35+25+12,0.8,4,5;17+22+10,40+28+15,0.7,4,5;17+22+10,45+30+20,0.7,4,5;17+22+10,50+35+22,0.6,4,6;17+22+10,53+38+28,0.5,5,6;17+22+10,58+40+33,0.5,5,6;</v>
      </c>
      <c r="G55" t="s">
        <v>473</v>
      </c>
      <c r="H55" t="str">
        <f t="shared" si="2"/>
        <v>7,101,50,1;15,203,100,2</v>
      </c>
      <c r="I55">
        <v>101</v>
      </c>
      <c r="J55">
        <v>203</v>
      </c>
    </row>
    <row r="56" spans="1:10">
      <c r="A56">
        <v>53</v>
      </c>
      <c r="B56" t="str">
        <f t="shared" si="3"/>
        <v>18,24,11</v>
      </c>
      <c r="C56" s="2">
        <v>18</v>
      </c>
      <c r="D56" s="2">
        <v>24</v>
      </c>
      <c r="E56" s="2">
        <v>11</v>
      </c>
      <c r="F56" t="str">
        <f t="shared" si="5"/>
        <v>18,4,1.5,1,1;18,6,1.2,1,1;18,8,1.2,1,1;18,10,1.1,1,2;18,12,1.1,1,2;18+24,14,1,1,2;18+24,15+8,1,2,3;18+24,17+9,1,3,4;18+24,20+10,0.9,3,4;18+24,22+12,0.9,3,4;18+24,27+20,0.9,3,4;18+24,30+23,0.9,3,4;18+24+11,32+24+3,0.8,3,4;18+24+11,30+25+8,0.8,3,4;18+24+11,35+25+12,0.8,4,5;18+24+11,40+28+15,0.7,4,5;18+24+11,45+30+20,0.7,4,5;18+24+11,50+35+22,0.6,4,6;18+24+11,53+38+28,0.5,5,6;18+24+11,58+40+33,0.5,5,6;</v>
      </c>
      <c r="G56" t="s">
        <v>473</v>
      </c>
      <c r="H56" t="str">
        <f t="shared" si="2"/>
        <v>7,102,50,1;15,201,100,2</v>
      </c>
      <c r="I56">
        <v>102</v>
      </c>
      <c r="J56">
        <v>201</v>
      </c>
    </row>
    <row r="57" spans="1:10">
      <c r="A57">
        <v>54</v>
      </c>
      <c r="B57" t="str">
        <f t="shared" si="3"/>
        <v>19,25,23</v>
      </c>
      <c r="C57" s="2">
        <v>19</v>
      </c>
      <c r="D57" s="2">
        <v>25</v>
      </c>
      <c r="E57" s="2">
        <v>23</v>
      </c>
      <c r="F57" t="str">
        <f t="shared" si="5"/>
        <v>19,4,1.5,1,1;19,6,1.2,1,1;19,8,1.2,1,1;19,10,1.1,1,2;19,12,1.1,1,2;19+25,14,1,1,2;19+25,15+8,1,2,3;19+25,17+9,1,3,4;19+25,20+10,0.9,3,4;19+25,22+12,0.9,3,4;19+25,27+20,0.9,3,4;19+25,30+23,0.9,3,4;19+25+23,32+24+3,0.8,3,4;19+25+23,30+25+8,0.8,3,4;19+25+23,35+25+12,0.8,4,5;19+25+23,40+28+15,0.7,4,5;19+25+23,45+30+20,0.7,4,5;19+25+23,50+35+22,0.6,4,6;19+25+23,53+38+28,0.5,5,6;19+25+23,58+40+33,0.5,5,6;</v>
      </c>
      <c r="G57" t="s">
        <v>473</v>
      </c>
      <c r="H57" t="str">
        <f t="shared" si="2"/>
        <v>7,101,50,1;15,202,100,2</v>
      </c>
      <c r="I57">
        <v>101</v>
      </c>
      <c r="J57">
        <v>202</v>
      </c>
    </row>
    <row r="58" spans="1:10">
      <c r="A58">
        <v>55</v>
      </c>
      <c r="B58" t="str">
        <f t="shared" si="3"/>
        <v>1,27,26</v>
      </c>
      <c r="C58" s="2">
        <v>1</v>
      </c>
      <c r="D58" s="2">
        <v>27</v>
      </c>
      <c r="E58" s="2">
        <v>26</v>
      </c>
      <c r="F58" t="str">
        <f t="shared" si="5"/>
        <v>1,4,1.5,1,1;1,6,1.2,1,1;1,8,1.2,1,1;1,10,1.1,1,2;1,12,1.1,1,2;1+27,14,1,1,2;1+27,15+8,1,2,3;1+27,17+9,1,3,4;1+27,20+10,0.9,3,4;1+27,22+12,0.9,3,4;1+27,27+20,0.9,3,4;1+27,30+23,0.9,3,4;1+27+26,32+24+3,0.8,3,4;1+27+26,30+25+8,0.8,3,4;1+27+26,35+25+12,0.8,4,5;1+27+26,40+28+15,0.7,4,5;1+27+26,45+30+20,0.7,4,5;1+27+26,50+35+22,0.6,4,6;1+27+26,53+38+28,0.5,5,6;1+27+26,58+40+33,0.5,5,6;</v>
      </c>
      <c r="G58" t="s">
        <v>473</v>
      </c>
      <c r="H58" t="str">
        <f t="shared" si="2"/>
        <v>7,102,50,1;15,203,100,2</v>
      </c>
      <c r="I58">
        <v>102</v>
      </c>
      <c r="J58">
        <v>203</v>
      </c>
    </row>
    <row r="59" spans="1:10">
      <c r="A59">
        <v>56</v>
      </c>
      <c r="B59" t="str">
        <f t="shared" si="3"/>
        <v>5,2,28</v>
      </c>
      <c r="C59" s="2">
        <v>5</v>
      </c>
      <c r="D59" s="2">
        <v>2</v>
      </c>
      <c r="E59" s="2">
        <v>28</v>
      </c>
      <c r="F59" t="str">
        <f t="shared" si="5"/>
        <v>5,4,1.5,1,1;5,6,1.2,1,1;5,8,1.2,1,1;5,10,1.1,1,2;5,12,1.1,1,2;5+2,14,1,1,2;5+2,15+8,1,2,3;5+2,17+9,1,3,4;5+2,20+10,0.9,3,4;5+2,22+12,0.9,3,4;5+2,27+20,0.9,3,4;5+2,30+23,0.9,3,4;5+2+28,32+24+3,0.8,3,4;5+2+28,30+25+8,0.8,3,4;5+2+28,35+25+12,0.8,4,5;5+2+28,40+28+15,0.7,4,5;5+2+28,45+30+20,0.7,4,5;5+2+28,50+35+22,0.6,4,6;5+2+28,53+38+28,0.5,5,6;5+2+28,58+40+33,0.5,5,6;</v>
      </c>
      <c r="G59" t="s">
        <v>473</v>
      </c>
      <c r="H59" t="str">
        <f t="shared" si="2"/>
        <v>7,101,50,1;15,201,100,2</v>
      </c>
      <c r="I59">
        <v>101</v>
      </c>
      <c r="J59">
        <v>201</v>
      </c>
    </row>
    <row r="60" spans="1:10">
      <c r="A60">
        <v>57</v>
      </c>
      <c r="B60" t="str">
        <f t="shared" si="3"/>
        <v>7,2,3</v>
      </c>
      <c r="C60" s="2">
        <v>7</v>
      </c>
      <c r="D60" s="2">
        <v>2</v>
      </c>
      <c r="E60" s="2">
        <v>3</v>
      </c>
      <c r="F60" t="str">
        <f t="shared" si="5"/>
        <v>7,4,1.5,1,1;7,6,1.2,1,1;7,8,1.2,1,1;7,10,1.1,1,2;7,12,1.1,1,2;7+2,14,1,1,2;7+2,15+8,1,2,3;7+2,17+9,1,3,4;7+2,20+10,0.9,3,4;7+2,22+12,0.9,3,4;7+2,27+20,0.9,3,4;7+2,30+23,0.9,3,4;7+2+3,32+24+3,0.8,3,4;7+2+3,30+25+8,0.8,3,4;7+2+3,35+25+12,0.8,4,5;7+2+3,40+28+15,0.7,4,5;7+2+3,45+30+20,0.7,4,5;7+2+3,50+35+22,0.6,4,6;7+2+3,53+38+28,0.5,5,6;7+2+3,58+40+33,0.5,5,6;</v>
      </c>
      <c r="G60" t="s">
        <v>473</v>
      </c>
      <c r="H60" t="str">
        <f t="shared" si="2"/>
        <v>7,102,50,1;15,202,100,2</v>
      </c>
      <c r="I60">
        <v>102</v>
      </c>
      <c r="J60">
        <v>202</v>
      </c>
    </row>
    <row r="61" spans="1:10">
      <c r="A61">
        <v>58</v>
      </c>
      <c r="B61" t="str">
        <f t="shared" si="3"/>
        <v>13,9,6</v>
      </c>
      <c r="C61" s="2">
        <v>13</v>
      </c>
      <c r="D61" s="2">
        <v>9</v>
      </c>
      <c r="E61" s="2">
        <v>6</v>
      </c>
      <c r="F61" t="str">
        <f t="shared" si="5"/>
        <v>13,4,1.5,1,1;13,6,1.2,1,1;13,8,1.2,1,1;13,10,1.1,1,2;13,12,1.1,1,2;13+9,14,1,1,2;13+9,15+8,1,2,3;13+9,17+9,1,3,4;13+9,20+10,0.9,3,4;13+9,22+12,0.9,3,4;13+9,27+20,0.9,3,4;13+9,30+23,0.9,3,4;13+9+6,32+24+3,0.8,3,4;13+9+6,30+25+8,0.8,3,4;13+9+6,35+25+12,0.8,4,5;13+9+6,40+28+15,0.7,4,5;13+9+6,45+30+20,0.7,4,5;13+9+6,50+35+22,0.6,4,6;13+9+6,53+38+28,0.5,5,6;13+9+6,58+40+33,0.5,5,6;</v>
      </c>
      <c r="G61" t="s">
        <v>473</v>
      </c>
      <c r="H61" t="str">
        <f t="shared" si="2"/>
        <v>7,101,50,1;15,203,100,2</v>
      </c>
      <c r="I61">
        <v>101</v>
      </c>
      <c r="J61">
        <v>203</v>
      </c>
    </row>
    <row r="62" spans="1:10">
      <c r="A62">
        <v>59</v>
      </c>
      <c r="B62" t="str">
        <f t="shared" si="3"/>
        <v>14,12,8</v>
      </c>
      <c r="C62" s="2">
        <v>14</v>
      </c>
      <c r="D62" s="2">
        <v>12</v>
      </c>
      <c r="E62" s="2">
        <v>8</v>
      </c>
      <c r="F62" t="str">
        <f t="shared" si="5"/>
        <v>14,4,1.5,1,1;14,6,1.2,1,1;14,8,1.2,1,1;14,10,1.1,1,2;14,12,1.1,1,2;14+12,14,1,1,2;14+12,15+8,1,2,3;14+12,17+9,1,3,4;14+12,20+10,0.9,3,4;14+12,22+12,0.9,3,4;14+12,27+20,0.9,3,4;14+12,30+23,0.9,3,4;14+12+8,32+24+3,0.8,3,4;14+12+8,30+25+8,0.8,3,4;14+12+8,35+25+12,0.8,4,5;14+12+8,40+28+15,0.7,4,5;14+12+8,45+30+20,0.7,4,5;14+12+8,50+35+22,0.6,4,6;14+12+8,53+38+28,0.5,5,6;14+12+8,58+40+33,0.5,5,6;</v>
      </c>
      <c r="G62" t="s">
        <v>473</v>
      </c>
      <c r="H62" t="str">
        <f t="shared" si="2"/>
        <v>7,102,50,1;15,201,100,2</v>
      </c>
      <c r="I62">
        <v>102</v>
      </c>
      <c r="J62">
        <v>201</v>
      </c>
    </row>
    <row r="63" spans="1:10">
      <c r="A63">
        <v>60</v>
      </c>
      <c r="B63" t="str">
        <f t="shared" si="3"/>
        <v>16,12,10</v>
      </c>
      <c r="C63" s="2">
        <v>16</v>
      </c>
      <c r="D63" s="2">
        <v>12</v>
      </c>
      <c r="E63" s="2">
        <v>10</v>
      </c>
      <c r="F63" t="str">
        <f t="shared" si="5"/>
        <v>16,4,1.5,1,1;16,6,1.2,1,1;16,8,1.2,1,1;16,10,1.1,1,2;16,12,1.1,1,2;16+12,14,1,1,2;16+12,15+8,1,2,3;16+12,17+9,1,3,4;16+12,20+10,0.9,3,4;16+12,22+12,0.9,3,4;16+12,27+20,0.9,3,4;16+12,30+23,0.9,3,4;16+12+10,32+24+3,0.8,3,4;16+12+10,30+25+8,0.8,3,4;16+12+10,35+25+12,0.8,4,5;16+12+10,40+28+15,0.7,4,5;16+12+10,45+30+20,0.7,4,5;16+12+10,50+35+22,0.6,4,6;16+12+10,53+38+28,0.5,5,6;16+12+10,58+40+33,0.5,5,6;</v>
      </c>
      <c r="G63" t="s">
        <v>473</v>
      </c>
      <c r="H63" t="str">
        <f t="shared" si="2"/>
        <v>7,101,50,1;15,202,100,2</v>
      </c>
      <c r="I63">
        <v>101</v>
      </c>
      <c r="J63">
        <v>202</v>
      </c>
    </row>
    <row r="64" spans="1:10">
      <c r="A64">
        <v>61</v>
      </c>
      <c r="B64" t="str">
        <f t="shared" si="3"/>
        <v>17,20,11</v>
      </c>
      <c r="C64" s="2">
        <v>17</v>
      </c>
      <c r="D64" s="2">
        <v>20</v>
      </c>
      <c r="E64" s="2">
        <v>11</v>
      </c>
      <c r="F64" t="str">
        <f t="shared" si="5"/>
        <v>17,4,1.5,1,1;17,6,1.2,1,1;17,8,1.2,1,1;17,10,1.1,1,2;17,12,1.1,1,2;17+20,14,1,1,2;17+20,15+8,1,2,3;17+20,17+9,1,3,4;17+20,20+10,0.9,3,4;17+20,22+12,0.9,3,4;17+20,27+20,0.9,3,4;17+20,30+23,0.9,3,4;17+20+11,32+24+3,0.8,3,4;17+20+11,30+25+8,0.8,3,4;17+20+11,35+25+12,0.8,4,5;17+20+11,40+28+15,0.7,4,5;17+20+11,45+30+20,0.7,4,5;17+20+11,50+35+22,0.6,4,6;17+20+11,53+38+28,0.5,5,6;17+20+11,58+40+33,0.5,5,6;</v>
      </c>
      <c r="G64" t="s">
        <v>473</v>
      </c>
      <c r="H64" t="str">
        <f t="shared" si="2"/>
        <v>7,102,50,1;15,203,100,2</v>
      </c>
      <c r="I64">
        <v>102</v>
      </c>
      <c r="J64">
        <v>203</v>
      </c>
    </row>
    <row r="65" spans="1:10">
      <c r="A65">
        <v>62</v>
      </c>
      <c r="B65" t="str">
        <f t="shared" si="3"/>
        <v>18,21,23</v>
      </c>
      <c r="C65" s="2">
        <v>18</v>
      </c>
      <c r="D65" s="2">
        <v>21</v>
      </c>
      <c r="E65" s="2">
        <v>23</v>
      </c>
      <c r="F65" t="str">
        <f t="shared" si="5"/>
        <v>18,4,1.5,1,1;18,6,1.2,1,1;18,8,1.2,1,1;18,10,1.1,1,2;18,12,1.1,1,2;18+21,14,1,1,2;18+21,15+8,1,2,3;18+21,17+9,1,3,4;18+21,20+10,0.9,3,4;18+21,22+12,0.9,3,4;18+21,27+20,0.9,3,4;18+21,30+23,0.9,3,4;18+21+23,32+24+3,0.8,3,4;18+21+23,30+25+8,0.8,3,4;18+21+23,35+25+12,0.8,4,5;18+21+23,40+28+15,0.7,4,5;18+21+23,45+30+20,0.7,4,5;18+21+23,50+35+22,0.6,4,6;18+21+23,53+38+28,0.5,5,6;18+21+23,58+40+33,0.5,5,6;</v>
      </c>
      <c r="G65" t="s">
        <v>473</v>
      </c>
      <c r="H65" t="str">
        <f t="shared" si="2"/>
        <v>7,101,50,1;15,201,100,2</v>
      </c>
      <c r="I65">
        <v>101</v>
      </c>
      <c r="J65">
        <v>201</v>
      </c>
    </row>
    <row r="66" spans="1:10">
      <c r="A66">
        <v>63</v>
      </c>
      <c r="B66" t="str">
        <f t="shared" si="3"/>
        <v>19,22,26</v>
      </c>
      <c r="C66" s="2">
        <v>19</v>
      </c>
      <c r="D66" s="2">
        <v>22</v>
      </c>
      <c r="E66" s="2">
        <v>26</v>
      </c>
      <c r="F66" t="str">
        <f t="shared" si="5"/>
        <v>19,4,1.5,1,1;19,6,1.2,1,1;19,8,1.2,1,1;19,10,1.1,1,2;19,12,1.1,1,2;19+22,14,1,1,2;19+22,15+8,1,2,3;19+22,17+9,1,3,4;19+22,20+10,0.9,3,4;19+22,22+12,0.9,3,4;19+22,27+20,0.9,3,4;19+22,30+23,0.9,3,4;19+22+26,32+24+3,0.8,3,4;19+22+26,30+25+8,0.8,3,4;19+22+26,35+25+12,0.8,4,5;19+22+26,40+28+15,0.7,4,5;19+22+26,45+30+20,0.7,4,5;19+22+26,50+35+22,0.6,4,6;19+22+26,53+38+28,0.5,5,6;19+22+26,58+40+33,0.5,5,6;</v>
      </c>
      <c r="G66" t="s">
        <v>473</v>
      </c>
      <c r="H66" t="str">
        <f t="shared" si="2"/>
        <v>7,102,50,1;15,202,100,2</v>
      </c>
      <c r="I66">
        <v>102</v>
      </c>
      <c r="J66">
        <v>202</v>
      </c>
    </row>
    <row r="67" spans="1:10">
      <c r="A67">
        <v>64</v>
      </c>
      <c r="B67" t="str">
        <f t="shared" si="3"/>
        <v>1,24,28</v>
      </c>
      <c r="C67" s="2">
        <v>1</v>
      </c>
      <c r="D67" s="2">
        <v>24</v>
      </c>
      <c r="E67" s="2">
        <v>28</v>
      </c>
      <c r="F67" t="str">
        <f t="shared" si="5"/>
        <v>1,4,1.5,1,1;1,6,1.2,1,1;1,8,1.2,1,1;1,10,1.1,1,2;1,12,1.1,1,2;1+24,14,1,1,2;1+24,15+8,1,2,3;1+24,17+9,1,3,4;1+24,20+10,0.9,3,4;1+24,22+12,0.9,3,4;1+24,27+20,0.9,3,4;1+24,30+23,0.9,3,4;1+24+28,32+24+3,0.8,3,4;1+24+28,30+25+8,0.8,3,4;1+24+28,35+25+12,0.8,4,5;1+24+28,40+28+15,0.7,4,5;1+24+28,45+30+20,0.7,4,5;1+24+28,50+35+22,0.6,4,6;1+24+28,53+38+28,0.5,5,6;1+24+28,58+40+33,0.5,5,6;</v>
      </c>
      <c r="G67" t="s">
        <v>473</v>
      </c>
      <c r="H67" t="str">
        <f t="shared" si="2"/>
        <v>7,101,50,1;15,203,100,2</v>
      </c>
      <c r="I67">
        <v>101</v>
      </c>
      <c r="J67">
        <v>203</v>
      </c>
    </row>
    <row r="68" spans="1:10">
      <c r="A68">
        <v>65</v>
      </c>
      <c r="B68" t="str">
        <f t="shared" si="3"/>
        <v>5,25,3</v>
      </c>
      <c r="C68" s="2">
        <v>5</v>
      </c>
      <c r="D68" s="2">
        <v>25</v>
      </c>
      <c r="E68" s="2">
        <v>3</v>
      </c>
      <c r="F68" t="str">
        <f t="shared" si="5"/>
        <v>5,4,1.5,1,1;5,6,1.2,1,1;5,8,1.2,1,1;5,10,1.1,1,2;5,12,1.1,1,2;5+25,14,1,1,2;5+25,15+8,1,2,3;5+25,17+9,1,3,4;5+25,20+10,0.9,3,4;5+25,22+12,0.9,3,4;5+25,27+20,0.9,3,4;5+25,30+23,0.9,3,4;5+25+3,32+24+3,0.8,3,4;5+25+3,30+25+8,0.8,3,4;5+25+3,35+25+12,0.8,4,5;5+25+3,40+28+15,0.7,4,5;5+25+3,45+30+20,0.7,4,5;5+25+3,50+35+22,0.6,4,6;5+25+3,53+38+28,0.5,5,6;5+25+3,58+40+33,0.5,5,6;</v>
      </c>
      <c r="G68" t="s">
        <v>473</v>
      </c>
      <c r="H68" t="str">
        <f t="shared" si="2"/>
        <v>7,102,50,1;15,201,100,2</v>
      </c>
      <c r="I68">
        <v>102</v>
      </c>
      <c r="J68">
        <v>201</v>
      </c>
    </row>
    <row r="69" spans="1:10">
      <c r="A69">
        <v>66</v>
      </c>
      <c r="B69" t="str">
        <f t="shared" si="3"/>
        <v>7,27,6</v>
      </c>
      <c r="C69" s="2">
        <v>7</v>
      </c>
      <c r="D69" s="2">
        <v>27</v>
      </c>
      <c r="E69" s="2">
        <v>6</v>
      </c>
      <c r="F69" t="str">
        <f t="shared" si="5"/>
        <v>7,4,1.5,1,1;7,6,1.2,1,1;7,8,1.2,1,1;7,10,1.1,1,2;7,12,1.1,1,2;7+27,14,1,1,2;7+27,15+8,1,2,3;7+27,17+9,1,3,4;7+27,20+10,0.9,3,4;7+27,22+12,0.9,3,4;7+27,27+20,0.9,3,4;7+27,30+23,0.9,3,4;7+27+6,32+24+3,0.8,3,4;7+27+6,30+25+8,0.8,3,4;7+27+6,35+25+12,0.8,4,5;7+27+6,40+28+15,0.7,4,5;7+27+6,45+30+20,0.7,4,5;7+27+6,50+35+22,0.6,4,6;7+27+6,53+38+28,0.5,5,6;7+27+6,58+40+33,0.5,5,6;</v>
      </c>
      <c r="G69" t="s">
        <v>473</v>
      </c>
      <c r="H69" t="str">
        <f t="shared" ref="H69:H132" si="6">"7,"&amp;I69&amp;",50,1;15,"&amp;J69&amp;",100,2"</f>
        <v>7,101,50,1;15,202,100,2</v>
      </c>
      <c r="I69">
        <v>101</v>
      </c>
      <c r="J69">
        <v>202</v>
      </c>
    </row>
    <row r="70" spans="1:10">
      <c r="A70">
        <v>67</v>
      </c>
      <c r="B70" t="str">
        <f t="shared" si="3"/>
        <v>13,2,8</v>
      </c>
      <c r="C70" s="2">
        <v>13</v>
      </c>
      <c r="D70" s="2">
        <v>2</v>
      </c>
      <c r="E70" s="2">
        <v>8</v>
      </c>
      <c r="F70" t="str">
        <f t="shared" si="5"/>
        <v>13,4,1.5,1,1;13,6,1.2,1,1;13,8,1.2,1,1;13,10,1.1,1,2;13,12,1.1,1,2;13+2,14,1,1,2;13+2,15+8,1,2,3;13+2,17+9,1,3,4;13+2,20+10,0.9,3,4;13+2,22+12,0.9,3,4;13+2,27+20,0.9,3,4;13+2,30+23,0.9,3,4;13+2+8,32+24+3,0.8,3,4;13+2+8,30+25+8,0.8,3,4;13+2+8,35+25+12,0.8,4,5;13+2+8,40+28+15,0.7,4,5;13+2+8,45+30+20,0.7,4,5;13+2+8,50+35+22,0.6,4,6;13+2+8,53+38+28,0.5,5,6;13+2+8,58+40+33,0.5,5,6;</v>
      </c>
      <c r="G70" t="s">
        <v>473</v>
      </c>
      <c r="H70" t="str">
        <f t="shared" si="6"/>
        <v>7,102,50,1;15,203,100,2</v>
      </c>
      <c r="I70">
        <v>102</v>
      </c>
      <c r="J70">
        <v>203</v>
      </c>
    </row>
    <row r="71" spans="1:10">
      <c r="A71">
        <v>68</v>
      </c>
      <c r="B71" t="str">
        <f t="shared" si="3"/>
        <v>1,9,10</v>
      </c>
      <c r="C71" s="2">
        <v>1</v>
      </c>
      <c r="D71" s="2">
        <v>9</v>
      </c>
      <c r="E71" s="2">
        <v>10</v>
      </c>
      <c r="F71" t="str">
        <f t="shared" si="5"/>
        <v>1,4,1.5,1,1;1,6,1.2,1,1;1,8,1.2,1,1;1,10,1.1,1,2;1,12,1.1,1,2;1+9,14,1,1,2;1+9,15+8,1,2,3;1+9,17+9,1,3,4;1+9,20+10,0.9,3,4;1+9,22+12,0.9,3,4;1+9,27+20,0.9,3,4;1+9,30+23,0.9,3,4;1+9+10,32+24+3,0.8,3,4;1+9+10,30+25+8,0.8,3,4;1+9+10,35+25+12,0.8,4,5;1+9+10,40+28+15,0.7,4,5;1+9+10,45+30+20,0.7,4,5;1+9+10,50+35+22,0.6,4,6;1+9+10,53+38+28,0.5,5,6;1+9+10,58+40+33,0.5,5,6;</v>
      </c>
      <c r="G71" t="s">
        <v>473</v>
      </c>
      <c r="H71" t="str">
        <f t="shared" si="6"/>
        <v>7,101,50,1;15,201,100,2</v>
      </c>
      <c r="I71">
        <v>101</v>
      </c>
      <c r="J71">
        <v>201</v>
      </c>
    </row>
    <row r="72" spans="1:10">
      <c r="A72">
        <v>69</v>
      </c>
      <c r="B72" t="str">
        <f t="shared" si="3"/>
        <v>16,9,11</v>
      </c>
      <c r="C72" s="2">
        <v>16</v>
      </c>
      <c r="D72" s="2">
        <v>9</v>
      </c>
      <c r="E72" s="2">
        <v>11</v>
      </c>
      <c r="F72" t="str">
        <f t="shared" si="5"/>
        <v>16,4,1.5,1,1;16,6,1.2,1,1;16,8,1.2,1,1;16,10,1.1,1,2;16,12,1.1,1,2;16+9,14,1,1,2;16+9,15+8,1,2,3;16+9,17+9,1,3,4;16+9,20+10,0.9,3,4;16+9,22+12,0.9,3,4;16+9,27+20,0.9,3,4;16+9,30+23,0.9,3,4;16+9+11,32+24+3,0.8,3,4;16+9+11,30+25+8,0.8,3,4;16+9+11,35+25+12,0.8,4,5;16+9+11,40+28+15,0.7,4,5;16+9+11,45+30+20,0.7,4,5;16+9+11,50+35+22,0.6,4,6;16+9+11,53+38+28,0.5,5,6;16+9+11,58+40+33,0.5,5,6;</v>
      </c>
      <c r="G72" t="s">
        <v>473</v>
      </c>
      <c r="H72" t="str">
        <f t="shared" si="6"/>
        <v>7,102,50,1;15,202,100,2</v>
      </c>
      <c r="I72">
        <v>102</v>
      </c>
      <c r="J72">
        <v>202</v>
      </c>
    </row>
    <row r="73" spans="1:10">
      <c r="A73">
        <v>70</v>
      </c>
      <c r="B73" t="str">
        <f t="shared" si="3"/>
        <v>17,12,23</v>
      </c>
      <c r="C73" s="2">
        <v>17</v>
      </c>
      <c r="D73" s="2">
        <v>12</v>
      </c>
      <c r="E73" s="2">
        <v>23</v>
      </c>
      <c r="F73" t="str">
        <f t="shared" si="5"/>
        <v>17,4,1.5,1,1;17,6,1.2,1,1;17,8,1.2,1,1;17,10,1.1,1,2;17,12,1.1,1,2;17+12,14,1,1,2;17+12,15+8,1,2,3;17+12,17+9,1,3,4;17+12,20+10,0.9,3,4;17+12,22+12,0.9,3,4;17+12,27+20,0.9,3,4;17+12,30+23,0.9,3,4;17+12+23,32+24+3,0.8,3,4;17+12+23,30+25+8,0.8,3,4;17+12+23,35+25+12,0.8,4,5;17+12+23,40+28+15,0.7,4,5;17+12+23,45+30+20,0.7,4,5;17+12+23,50+35+22,0.6,4,6;17+12+23,53+38+28,0.5,5,6;17+12+23,58+40+33,0.5,5,6;</v>
      </c>
      <c r="G73" t="s">
        <v>473</v>
      </c>
      <c r="H73" t="str">
        <f t="shared" si="6"/>
        <v>7,101,50,1;15,203,100,2</v>
      </c>
      <c r="I73">
        <v>101</v>
      </c>
      <c r="J73">
        <v>203</v>
      </c>
    </row>
    <row r="74" spans="1:10">
      <c r="A74">
        <v>71</v>
      </c>
      <c r="B74" t="str">
        <f t="shared" si="3"/>
        <v>18,15,26</v>
      </c>
      <c r="C74" s="2">
        <v>18</v>
      </c>
      <c r="D74" s="2">
        <v>15</v>
      </c>
      <c r="E74" s="2">
        <v>26</v>
      </c>
      <c r="F74" t="str">
        <f t="shared" si="5"/>
        <v>18,4,1.5,1,1;18,6,1.2,1,1;18,8,1.2,1,1;18,10,1.1,1,2;18,12,1.1,1,2;18+15,14,1,1,2;18+15,15+8,1,2,3;18+15,17+9,1,3,4;18+15,20+10,0.9,3,4;18+15,22+12,0.9,3,4;18+15,27+20,0.9,3,4;18+15,30+23,0.9,3,4;18+15+26,32+24+3,0.8,3,4;18+15+26,30+25+8,0.8,3,4;18+15+26,35+25+12,0.8,4,5;18+15+26,40+28+15,0.7,4,5;18+15+26,45+30+20,0.7,4,5;18+15+26,50+35+22,0.6,4,6;18+15+26,53+38+28,0.5,5,6;18+15+26,58+40+33,0.5,5,6;</v>
      </c>
      <c r="G74" t="s">
        <v>473</v>
      </c>
      <c r="H74" t="str">
        <f t="shared" si="6"/>
        <v>7,102,50,1;15,201,100,2</v>
      </c>
      <c r="I74">
        <v>102</v>
      </c>
      <c r="J74">
        <v>201</v>
      </c>
    </row>
    <row r="75" spans="1:10">
      <c r="A75">
        <v>72</v>
      </c>
      <c r="B75" t="str">
        <f t="shared" si="3"/>
        <v>19,20,28</v>
      </c>
      <c r="C75" s="2">
        <v>19</v>
      </c>
      <c r="D75" s="2">
        <v>20</v>
      </c>
      <c r="E75" s="2">
        <v>28</v>
      </c>
      <c r="F75" t="str">
        <f t="shared" si="5"/>
        <v>19,4,1.5,1,1;19,6,1.2,1,1;19,8,1.2,1,1;19,10,1.1,1,2;19,12,1.1,1,2;19+20,14,1,1,2;19+20,15+8,1,2,3;19+20,17+9,1,3,4;19+20,20+10,0.9,3,4;19+20,22+12,0.9,3,4;19+20,27+20,0.9,3,4;19+20,30+23,0.9,3,4;19+20+28,32+24+3,0.8,3,4;19+20+28,30+25+8,0.8,3,4;19+20+28,35+25+12,0.8,4,5;19+20+28,40+28+15,0.7,4,5;19+20+28,45+30+20,0.7,4,5;19+20+28,50+35+22,0.6,4,6;19+20+28,53+38+28,0.5,5,6;19+20+28,58+40+33,0.5,5,6;</v>
      </c>
      <c r="G75" t="s">
        <v>473</v>
      </c>
      <c r="H75" t="str">
        <f t="shared" si="6"/>
        <v>7,101,50,1;15,202,100,2</v>
      </c>
      <c r="I75">
        <v>101</v>
      </c>
      <c r="J75">
        <v>202</v>
      </c>
    </row>
    <row r="76" spans="1:10">
      <c r="A76">
        <v>73</v>
      </c>
      <c r="B76" t="str">
        <f t="shared" si="3"/>
        <v>1,21,3</v>
      </c>
      <c r="C76" s="2">
        <v>1</v>
      </c>
      <c r="D76" s="2">
        <v>21</v>
      </c>
      <c r="E76" s="2">
        <v>3</v>
      </c>
      <c r="F76" t="str">
        <f t="shared" si="5"/>
        <v>1,4,1.5,1,1;1,6,1.2,1,1;1,8,1.2,1,1;1,10,1.1,1,2;1,12,1.1,1,2;1+21,14,1,1,2;1+21,15+8,1,2,3;1+21,17+9,1,3,4;1+21,20+10,0.9,3,4;1+21,22+12,0.9,3,4;1+21,27+20,0.9,3,4;1+21,30+23,0.9,3,4;1+21+3,32+24+3,0.8,3,4;1+21+3,30+25+8,0.8,3,4;1+21+3,35+25+12,0.8,4,5;1+21+3,40+28+15,0.7,4,5;1+21+3,45+30+20,0.7,4,5;1+21+3,50+35+22,0.6,4,6;1+21+3,53+38+28,0.5,5,6;1+21+3,58+40+33,0.5,5,6;</v>
      </c>
      <c r="G76" t="s">
        <v>473</v>
      </c>
      <c r="H76" t="str">
        <f t="shared" si="6"/>
        <v>7,102,50,1;15,203,100,2</v>
      </c>
      <c r="I76">
        <v>102</v>
      </c>
      <c r="J76">
        <v>203</v>
      </c>
    </row>
    <row r="77" spans="1:10">
      <c r="A77">
        <v>74</v>
      </c>
      <c r="B77" t="str">
        <f t="shared" si="3"/>
        <v>5,22,6</v>
      </c>
      <c r="C77" s="2">
        <v>5</v>
      </c>
      <c r="D77" s="2">
        <v>22</v>
      </c>
      <c r="E77" s="2">
        <v>6</v>
      </c>
      <c r="F77" t="str">
        <f t="shared" si="5"/>
        <v>5,4,1.5,1,1;5,6,1.2,1,1;5,8,1.2,1,1;5,10,1.1,1,2;5,12,1.1,1,2;5+22,14,1,1,2;5+22,15+8,1,2,3;5+22,17+9,1,3,4;5+22,20+10,0.9,3,4;5+22,22+12,0.9,3,4;5+22,27+20,0.9,3,4;5+22,30+23,0.9,3,4;5+22+6,32+24+3,0.8,3,4;5+22+6,30+25+8,0.8,3,4;5+22+6,35+25+12,0.8,4,5;5+22+6,40+28+15,0.7,4,5;5+22+6,45+30+20,0.7,4,5;5+22+6,50+35+22,0.6,4,6;5+22+6,53+38+28,0.5,5,6;5+22+6,58+40+33,0.5,5,6;</v>
      </c>
      <c r="G77" t="s">
        <v>473</v>
      </c>
      <c r="H77" t="str">
        <f t="shared" si="6"/>
        <v>7,101,50,1;15,201,100,2</v>
      </c>
      <c r="I77">
        <v>101</v>
      </c>
      <c r="J77">
        <v>201</v>
      </c>
    </row>
    <row r="78" spans="1:10">
      <c r="A78">
        <v>75</v>
      </c>
      <c r="B78" t="str">
        <f t="shared" ref="B78:B141" si="7">_xlfn.TEXTJOIN(",",,C78:E78)</f>
        <v>7,24,8</v>
      </c>
      <c r="C78" s="2">
        <v>7</v>
      </c>
      <c r="D78" s="2">
        <v>24</v>
      </c>
      <c r="E78" s="2">
        <v>8</v>
      </c>
      <c r="F78" t="str">
        <f t="shared" si="5"/>
        <v>7,4,1.5,1,1;7,6,1.2,1,1;7,8,1.2,1,1;7,10,1.1,1,2;7,12,1.1,1,2;7+24,14,1,1,2;7+24,15+8,1,2,3;7+24,17+9,1,3,4;7+24,20+10,0.9,3,4;7+24,22+12,0.9,3,4;7+24,27+20,0.9,3,4;7+24,30+23,0.9,3,4;7+24+8,32+24+3,0.8,3,4;7+24+8,30+25+8,0.8,3,4;7+24+8,35+25+12,0.8,4,5;7+24+8,40+28+15,0.7,4,5;7+24+8,45+30+20,0.7,4,5;7+24+8,50+35+22,0.6,4,6;7+24+8,53+38+28,0.5,5,6;7+24+8,58+40+33,0.5,5,6;</v>
      </c>
      <c r="G78" t="s">
        <v>473</v>
      </c>
      <c r="H78" t="str">
        <f t="shared" si="6"/>
        <v>7,102,50,1;15,202,100,2</v>
      </c>
      <c r="I78">
        <v>102</v>
      </c>
      <c r="J78">
        <v>202</v>
      </c>
    </row>
    <row r="79" spans="1:10">
      <c r="A79">
        <v>76</v>
      </c>
      <c r="B79" t="str">
        <f t="shared" si="7"/>
        <v>13,25,10</v>
      </c>
      <c r="C79" s="2">
        <v>13</v>
      </c>
      <c r="D79" s="2">
        <v>25</v>
      </c>
      <c r="E79" s="2">
        <v>10</v>
      </c>
      <c r="F79" t="str">
        <f t="shared" si="5"/>
        <v>13,4,1.5,1,1;13,6,1.2,1,1;13,8,1.2,1,1;13,10,1.1,1,2;13,12,1.1,1,2;13+25,14,1,1,2;13+25,15+8,1,2,3;13+25,17+9,1,3,4;13+25,20+10,0.9,3,4;13+25,22+12,0.9,3,4;13+25,27+20,0.9,3,4;13+25,30+23,0.9,3,4;13+25+10,32+24+3,0.8,3,4;13+25+10,30+25+8,0.8,3,4;13+25+10,35+25+12,0.8,4,5;13+25+10,40+28+15,0.7,4,5;13+25+10,45+30+20,0.7,4,5;13+25+10,50+35+22,0.6,4,6;13+25+10,53+38+28,0.5,5,6;13+25+10,58+40+33,0.5,5,6;</v>
      </c>
      <c r="G79" t="s">
        <v>473</v>
      </c>
      <c r="H79" t="str">
        <f t="shared" si="6"/>
        <v>7,101,50,1;15,203,100,2</v>
      </c>
      <c r="I79">
        <v>101</v>
      </c>
      <c r="J79">
        <v>203</v>
      </c>
    </row>
    <row r="80" spans="1:10">
      <c r="A80">
        <v>77</v>
      </c>
      <c r="B80" t="str">
        <f t="shared" si="7"/>
        <v>18,25,11</v>
      </c>
      <c r="C80" s="2">
        <v>18</v>
      </c>
      <c r="D80" s="2">
        <v>25</v>
      </c>
      <c r="E80" s="2">
        <v>11</v>
      </c>
      <c r="F80" t="str">
        <f t="shared" si="5"/>
        <v>18,4,1.5,1,1;18,6,1.2,1,1;18,8,1.2,1,1;18,10,1.1,1,2;18,12,1.1,1,2;18+25,14,1,1,2;18+25,15+8,1,2,3;18+25,17+9,1,3,4;18+25,20+10,0.9,3,4;18+25,22+12,0.9,3,4;18+25,27+20,0.9,3,4;18+25,30+23,0.9,3,4;18+25+11,32+24+3,0.8,3,4;18+25+11,30+25+8,0.8,3,4;18+25+11,35+25+12,0.8,4,5;18+25+11,40+28+15,0.7,4,5;18+25+11,45+30+20,0.7,4,5;18+25+11,50+35+22,0.6,4,6;18+25+11,53+38+28,0.5,5,6;18+25+11,58+40+33,0.5,5,6;</v>
      </c>
      <c r="G80" t="s">
        <v>473</v>
      </c>
      <c r="H80" t="str">
        <f t="shared" si="6"/>
        <v>7,102,50,1;15,201,100,2</v>
      </c>
      <c r="I80">
        <v>102</v>
      </c>
      <c r="J80">
        <v>201</v>
      </c>
    </row>
    <row r="81" spans="1:10">
      <c r="A81">
        <v>78</v>
      </c>
      <c r="B81" t="str">
        <f t="shared" si="7"/>
        <v>16,2,23</v>
      </c>
      <c r="C81" s="2">
        <v>16</v>
      </c>
      <c r="D81" s="2">
        <v>2</v>
      </c>
      <c r="E81" s="2">
        <v>23</v>
      </c>
      <c r="F81" t="str">
        <f t="shared" si="5"/>
        <v>16,4,1.5,1,1;16,6,1.2,1,1;16,8,1.2,1,1;16,10,1.1,1,2;16,12,1.1,1,2;16+2,14,1,1,2;16+2,15+8,1,2,3;16+2,17+9,1,3,4;16+2,20+10,0.9,3,4;16+2,22+12,0.9,3,4;16+2,27+20,0.9,3,4;16+2,30+23,0.9,3,4;16+2+23,32+24+3,0.8,3,4;16+2+23,30+25+8,0.8,3,4;16+2+23,35+25+12,0.8,4,5;16+2+23,40+28+15,0.7,4,5;16+2+23,45+30+20,0.7,4,5;16+2+23,50+35+22,0.6,4,6;16+2+23,53+38+28,0.5,5,6;16+2+23,58+40+33,0.5,5,6;</v>
      </c>
      <c r="G81" t="s">
        <v>473</v>
      </c>
      <c r="H81" t="str">
        <f t="shared" si="6"/>
        <v>7,101,50,1;15,202,100,2</v>
      </c>
      <c r="I81">
        <v>101</v>
      </c>
      <c r="J81">
        <v>202</v>
      </c>
    </row>
    <row r="82" spans="1:10">
      <c r="A82">
        <v>79</v>
      </c>
      <c r="B82" t="str">
        <f t="shared" si="7"/>
        <v>17,4,26</v>
      </c>
      <c r="C82" s="2">
        <v>17</v>
      </c>
      <c r="D82" s="2">
        <v>4</v>
      </c>
      <c r="E82" s="2">
        <v>26</v>
      </c>
      <c r="F82" t="str">
        <f t="shared" si="5"/>
        <v>17,4,1.5,1,1;17,6,1.2,1,1;17,8,1.2,1,1;17,10,1.1,1,2;17,12,1.1,1,2;17+4,14,1,1,2;17+4,15+8,1,2,3;17+4,17+9,1,3,4;17+4,20+10,0.9,3,4;17+4,22+12,0.9,3,4;17+4,27+20,0.9,3,4;17+4,30+23,0.9,3,4;17+4+26,32+24+3,0.8,3,4;17+4+26,30+25+8,0.8,3,4;17+4+26,35+25+12,0.8,4,5;17+4+26,40+28+15,0.7,4,5;17+4+26,45+30+20,0.7,4,5;17+4+26,50+35+22,0.6,4,6;17+4+26,53+38+28,0.5,5,6;17+4+26,58+40+33,0.5,5,6;</v>
      </c>
      <c r="G82" t="s">
        <v>473</v>
      </c>
      <c r="H82" t="str">
        <f t="shared" si="6"/>
        <v>7,102,50,1;15,203,100,2</v>
      </c>
      <c r="I82">
        <v>102</v>
      </c>
      <c r="J82">
        <v>203</v>
      </c>
    </row>
    <row r="83" spans="1:10">
      <c r="A83">
        <v>80</v>
      </c>
      <c r="B83" t="str">
        <f t="shared" si="7"/>
        <v>18,9,28</v>
      </c>
      <c r="C83" s="2">
        <v>18</v>
      </c>
      <c r="D83" s="2">
        <v>9</v>
      </c>
      <c r="E83" s="2">
        <v>28</v>
      </c>
      <c r="F83" t="str">
        <f t="shared" si="5"/>
        <v>18,4,1.5,1,1;18,6,1.2,1,1;18,8,1.2,1,1;18,10,1.1,1,2;18,12,1.1,1,2;18+9,14,1,1,2;18+9,15+8,1,2,3;18+9,17+9,1,3,4;18+9,20+10,0.9,3,4;18+9,22+12,0.9,3,4;18+9,27+20,0.9,3,4;18+9,30+23,0.9,3,4;18+9+28,32+24+3,0.8,3,4;18+9+28,30+25+8,0.8,3,4;18+9+28,35+25+12,0.8,4,5;18+9+28,40+28+15,0.7,4,5;18+9+28,45+30+20,0.7,4,5;18+9+28,50+35+22,0.6,4,6;18+9+28,53+38+28,0.5,5,6;18+9+28,58+40+33,0.5,5,6;</v>
      </c>
      <c r="G83" t="s">
        <v>473</v>
      </c>
      <c r="H83" t="str">
        <f t="shared" si="6"/>
        <v>7,101,50,1;15,201,100,2</v>
      </c>
      <c r="I83">
        <v>101</v>
      </c>
      <c r="J83">
        <v>201</v>
      </c>
    </row>
    <row r="84" spans="1:10">
      <c r="A84">
        <v>81</v>
      </c>
      <c r="B84" t="str">
        <f t="shared" si="7"/>
        <v>19,12,3</v>
      </c>
      <c r="C84" s="2">
        <v>19</v>
      </c>
      <c r="D84" s="2">
        <v>12</v>
      </c>
      <c r="E84" s="2">
        <v>3</v>
      </c>
      <c r="F84" t="str">
        <f t="shared" ref="F84:F147" si="8">SUBSTITUTE(SUBSTITUTE(SUBSTITUTE(G84,101,C84),102,D84),103,E84)</f>
        <v>19,4,1.5,1,1;19,6,1.2,1,1;19,8,1.2,1,1;19,10,1.1,1,2;19,12,1.1,1,2;19+12,14,1,1,2;19+12,15+8,1,2,3;19+12,17+9,1,3,4;19+12,20+10,0.9,3,4;19+12,22+12,0.9,3,4;19+12,27+20,0.9,3,4;19+12,30+23,0.9,3,4;19+12+3,32+24+3,0.8,3,4;19+12+3,30+25+8,0.8,3,4;19+12+3,35+25+12,0.8,4,5;19+12+3,40+28+15,0.7,4,5;19+12+3,45+30+20,0.7,4,5;19+12+3,50+35+22,0.6,4,6;19+12+3,53+38+28,0.5,5,6;19+12+3,58+40+33,0.5,5,6;</v>
      </c>
      <c r="G84" t="s">
        <v>473</v>
      </c>
      <c r="H84" t="str">
        <f t="shared" si="6"/>
        <v>7,102,50,1;15,202,100,2</v>
      </c>
      <c r="I84">
        <v>102</v>
      </c>
      <c r="J84">
        <v>202</v>
      </c>
    </row>
    <row r="85" spans="1:10">
      <c r="A85">
        <v>82</v>
      </c>
      <c r="B85" t="str">
        <f t="shared" si="7"/>
        <v>1,15,6</v>
      </c>
      <c r="C85" s="2">
        <v>1</v>
      </c>
      <c r="D85" s="2">
        <v>15</v>
      </c>
      <c r="E85" s="2">
        <v>6</v>
      </c>
      <c r="F85" t="str">
        <f t="shared" si="8"/>
        <v>1,4,1.5,1,1;1,6,1.2,1,1;1,8,1.2,1,1;1,10,1.1,1,2;1,12,1.1,1,2;1+15,14,1,1,2;1+15,15+8,1,2,3;1+15,17+9,1,3,4;1+15,20+10,0.9,3,4;1+15,22+12,0.9,3,4;1+15,27+20,0.9,3,4;1+15,30+23,0.9,3,4;1+15+6,32+24+3,0.8,3,4;1+15+6,30+25+8,0.8,3,4;1+15+6,35+25+12,0.8,4,5;1+15+6,40+28+15,0.7,4,5;1+15+6,45+30+20,0.7,4,5;1+15+6,50+35+22,0.6,4,6;1+15+6,53+38+28,0.5,5,6;1+15+6,58+40+33,0.5,5,6;</v>
      </c>
      <c r="G85" t="s">
        <v>473</v>
      </c>
      <c r="H85" t="str">
        <f t="shared" si="6"/>
        <v>7,101,50,1;15,203,100,2</v>
      </c>
      <c r="I85">
        <v>101</v>
      </c>
      <c r="J85">
        <v>203</v>
      </c>
    </row>
    <row r="86" spans="1:10">
      <c r="A86">
        <v>83</v>
      </c>
      <c r="B86" t="str">
        <f t="shared" si="7"/>
        <v>5,20,8</v>
      </c>
      <c r="C86" s="2">
        <v>5</v>
      </c>
      <c r="D86" s="2">
        <v>20</v>
      </c>
      <c r="E86" s="2">
        <v>8</v>
      </c>
      <c r="F86" t="str">
        <f t="shared" si="8"/>
        <v>5,4,1.5,1,1;5,6,1.2,1,1;5,8,1.2,1,1;5,10,1.1,1,2;5,12,1.1,1,2;5+20,14,1,1,2;5+20,15+8,1,2,3;5+20,17+9,1,3,4;5+20,20+10,0.9,3,4;5+20,22+12,0.9,3,4;5+20,27+20,0.9,3,4;5+20,30+23,0.9,3,4;5+20+8,32+24+3,0.8,3,4;5+20+8,30+25+8,0.8,3,4;5+20+8,35+25+12,0.8,4,5;5+20+8,40+28+15,0.7,4,5;5+20+8,45+30+20,0.7,4,5;5+20+8,50+35+22,0.6,4,6;5+20+8,53+38+28,0.5,5,6;5+20+8,58+40+33,0.5,5,6;</v>
      </c>
      <c r="G86" t="s">
        <v>473</v>
      </c>
      <c r="H86" t="str">
        <f t="shared" si="6"/>
        <v>7,102,50,1;15,201,100,2</v>
      </c>
      <c r="I86">
        <v>102</v>
      </c>
      <c r="J86">
        <v>201</v>
      </c>
    </row>
    <row r="87" spans="1:10">
      <c r="A87">
        <v>84</v>
      </c>
      <c r="B87" t="str">
        <f t="shared" si="7"/>
        <v>7,21,10</v>
      </c>
      <c r="C87" s="2">
        <v>7</v>
      </c>
      <c r="D87" s="2">
        <v>21</v>
      </c>
      <c r="E87" s="2">
        <v>10</v>
      </c>
      <c r="F87" t="str">
        <f t="shared" si="8"/>
        <v>7,4,1.5,1,1;7,6,1.2,1,1;7,8,1.2,1,1;7,10,1.1,1,2;7,12,1.1,1,2;7+21,14,1,1,2;7+21,15+8,1,2,3;7+21,17+9,1,3,4;7+21,20+10,0.9,3,4;7+21,22+12,0.9,3,4;7+21,27+20,0.9,3,4;7+21,30+23,0.9,3,4;7+21+10,32+24+3,0.8,3,4;7+21+10,30+25+8,0.8,3,4;7+21+10,35+25+12,0.8,4,5;7+21+10,40+28+15,0.7,4,5;7+21+10,45+30+20,0.7,4,5;7+21+10,50+35+22,0.6,4,6;7+21+10,53+38+28,0.5,5,6;7+21+10,58+40+33,0.5,5,6;</v>
      </c>
      <c r="G87" t="s">
        <v>473</v>
      </c>
      <c r="H87" t="str">
        <f t="shared" si="6"/>
        <v>7,101,50,1;15,202,100,2</v>
      </c>
      <c r="I87">
        <v>101</v>
      </c>
      <c r="J87">
        <v>202</v>
      </c>
    </row>
    <row r="88" spans="1:10">
      <c r="A88">
        <v>85</v>
      </c>
      <c r="B88" t="str">
        <f t="shared" si="7"/>
        <v>13,22,11</v>
      </c>
      <c r="C88" s="2">
        <v>13</v>
      </c>
      <c r="D88" s="2">
        <v>22</v>
      </c>
      <c r="E88" s="2">
        <v>11</v>
      </c>
      <c r="F88" t="str">
        <f t="shared" si="8"/>
        <v>13,4,1.5,1,1;13,6,1.2,1,1;13,8,1.2,1,1;13,10,1.1,1,2;13,12,1.1,1,2;13+22,14,1,1,2;13+22,15+8,1,2,3;13+22,17+9,1,3,4;13+22,20+10,0.9,3,4;13+22,22+12,0.9,3,4;13+22,27+20,0.9,3,4;13+22,30+23,0.9,3,4;13+22+11,32+24+3,0.8,3,4;13+22+11,30+25+8,0.8,3,4;13+22+11,35+25+12,0.8,4,5;13+22+11,40+28+15,0.7,4,5;13+22+11,45+30+20,0.7,4,5;13+22+11,50+35+22,0.6,4,6;13+22+11,53+38+28,0.5,5,6;13+22+11,58+40+33,0.5,5,6;</v>
      </c>
      <c r="G88" t="s">
        <v>473</v>
      </c>
      <c r="H88" t="str">
        <f t="shared" si="6"/>
        <v>7,102,50,1;15,203,100,2</v>
      </c>
      <c r="I88">
        <v>102</v>
      </c>
      <c r="J88">
        <v>203</v>
      </c>
    </row>
    <row r="89" spans="1:10">
      <c r="A89">
        <v>86</v>
      </c>
      <c r="B89" t="str">
        <f t="shared" si="7"/>
        <v>18,24,23</v>
      </c>
      <c r="C89" s="2">
        <v>18</v>
      </c>
      <c r="D89" s="2">
        <v>24</v>
      </c>
      <c r="E89" s="2">
        <v>23</v>
      </c>
      <c r="F89" t="str">
        <f t="shared" si="8"/>
        <v>18,4,1.5,1,1;18,6,1.2,1,1;18,8,1.2,1,1;18,10,1.1,1,2;18,12,1.1,1,2;18+24,14,1,1,2;18+24,15+8,1,2,3;18+24,17+9,1,3,4;18+24,20+10,0.9,3,4;18+24,22+12,0.9,3,4;18+24,27+20,0.9,3,4;18+24,30+23,0.9,3,4;18+24+23,32+24+3,0.8,3,4;18+24+23,30+25+8,0.8,3,4;18+24+23,35+25+12,0.8,4,5;18+24+23,40+28+15,0.7,4,5;18+24+23,45+30+20,0.7,4,5;18+24+23,50+35+22,0.6,4,6;18+24+23,53+38+28,0.5,5,6;18+24+23,58+40+33,0.5,5,6;</v>
      </c>
      <c r="G89" t="s">
        <v>473</v>
      </c>
      <c r="H89" t="str">
        <f t="shared" si="6"/>
        <v>7,101,50,1;15,201,100,2</v>
      </c>
      <c r="I89">
        <v>101</v>
      </c>
      <c r="J89">
        <v>201</v>
      </c>
    </row>
    <row r="90" spans="1:10">
      <c r="A90">
        <v>87</v>
      </c>
      <c r="B90" t="str">
        <f t="shared" si="7"/>
        <v>16,25,26</v>
      </c>
      <c r="C90" s="2">
        <v>16</v>
      </c>
      <c r="D90" s="2">
        <v>25</v>
      </c>
      <c r="E90" s="2">
        <v>26</v>
      </c>
      <c r="F90" t="str">
        <f t="shared" si="8"/>
        <v>16,4,1.5,1,1;16,6,1.2,1,1;16,8,1.2,1,1;16,10,1.1,1,2;16,12,1.1,1,2;16+25,14,1,1,2;16+25,15+8,1,2,3;16+25,17+9,1,3,4;16+25,20+10,0.9,3,4;16+25,22+12,0.9,3,4;16+25,27+20,0.9,3,4;16+25,30+23,0.9,3,4;16+25+26,32+24+3,0.8,3,4;16+25+26,30+25+8,0.8,3,4;16+25+26,35+25+12,0.8,4,5;16+25+26,40+28+15,0.7,4,5;16+25+26,45+30+20,0.7,4,5;16+25+26,50+35+22,0.6,4,6;16+25+26,53+38+28,0.5,5,6;16+25+26,58+40+33,0.5,5,6;</v>
      </c>
      <c r="G90" t="s">
        <v>473</v>
      </c>
      <c r="H90" t="str">
        <f t="shared" si="6"/>
        <v>7,102,50,1;15,202,100,2</v>
      </c>
      <c r="I90">
        <v>102</v>
      </c>
      <c r="J90">
        <v>202</v>
      </c>
    </row>
    <row r="91" spans="1:10">
      <c r="A91">
        <v>88</v>
      </c>
      <c r="B91" t="str">
        <f t="shared" si="7"/>
        <v>17,25,28</v>
      </c>
      <c r="C91" s="2">
        <v>17</v>
      </c>
      <c r="D91" s="2">
        <v>25</v>
      </c>
      <c r="E91" s="2">
        <v>28</v>
      </c>
      <c r="F91" t="str">
        <f t="shared" si="8"/>
        <v>17,4,1.5,1,1;17,6,1.2,1,1;17,8,1.2,1,1;17,10,1.1,1,2;17,12,1.1,1,2;17+25,14,1,1,2;17+25,15+8,1,2,3;17+25,17+9,1,3,4;17+25,20+10,0.9,3,4;17+25,22+12,0.9,3,4;17+25,27+20,0.9,3,4;17+25,30+23,0.9,3,4;17+25+28,32+24+3,0.8,3,4;17+25+28,30+25+8,0.8,3,4;17+25+28,35+25+12,0.8,4,5;17+25+28,40+28+15,0.7,4,5;17+25+28,45+30+20,0.7,4,5;17+25+28,50+35+22,0.6,4,6;17+25+28,53+38+28,0.5,5,6;17+25+28,58+40+33,0.5,5,6;</v>
      </c>
      <c r="G91" t="s">
        <v>473</v>
      </c>
      <c r="H91" t="str">
        <f t="shared" si="6"/>
        <v>7,101,50,1;15,203,100,2</v>
      </c>
      <c r="I91">
        <v>101</v>
      </c>
      <c r="J91">
        <v>203</v>
      </c>
    </row>
    <row r="92" spans="1:10">
      <c r="A92">
        <v>89</v>
      </c>
      <c r="B92" t="str">
        <f t="shared" si="7"/>
        <v>18,2,3</v>
      </c>
      <c r="C92" s="2">
        <v>18</v>
      </c>
      <c r="D92" s="2">
        <v>2</v>
      </c>
      <c r="E92" s="2">
        <v>3</v>
      </c>
      <c r="F92" t="str">
        <f t="shared" si="8"/>
        <v>18,4,1.5,1,1;18,6,1.2,1,1;18,8,1.2,1,1;18,10,1.1,1,2;18,12,1.1,1,2;18+2,14,1,1,2;18+2,15+8,1,2,3;18+2,17+9,1,3,4;18+2,20+10,0.9,3,4;18+2,22+12,0.9,3,4;18+2,27+20,0.9,3,4;18+2,30+23,0.9,3,4;18+2+3,32+24+3,0.8,3,4;18+2+3,30+25+8,0.8,3,4;18+2+3,35+25+12,0.8,4,5;18+2+3,40+28+15,0.7,4,5;18+2+3,45+30+20,0.7,4,5;18+2+3,50+35+22,0.6,4,6;18+2+3,53+38+28,0.5,5,6;18+2+3,58+40+33,0.5,5,6;</v>
      </c>
      <c r="G92" t="s">
        <v>473</v>
      </c>
      <c r="H92" t="str">
        <f t="shared" si="6"/>
        <v>7,102,50,1;15,201,100,2</v>
      </c>
      <c r="I92">
        <v>102</v>
      </c>
      <c r="J92">
        <v>201</v>
      </c>
    </row>
    <row r="93" spans="1:10">
      <c r="A93">
        <v>90</v>
      </c>
      <c r="B93" t="str">
        <f t="shared" si="7"/>
        <v>19,4,6</v>
      </c>
      <c r="C93" s="2">
        <v>19</v>
      </c>
      <c r="D93" s="2">
        <v>4</v>
      </c>
      <c r="E93" s="2">
        <v>6</v>
      </c>
      <c r="F93" t="str">
        <f t="shared" si="8"/>
        <v>19,4,1.5,1,1;19,6,1.2,1,1;19,8,1.2,1,1;19,10,1.1,1,2;19,12,1.1,1,2;19+4,14,1,1,2;19+4,15+8,1,2,3;19+4,17+9,1,3,4;19+4,20+10,0.9,3,4;19+4,22+12,0.9,3,4;19+4,27+20,0.9,3,4;19+4,30+23,0.9,3,4;19+4+6,32+24+3,0.8,3,4;19+4+6,30+25+8,0.8,3,4;19+4+6,35+25+12,0.8,4,5;19+4+6,40+28+15,0.7,4,5;19+4+6,45+30+20,0.7,4,5;19+4+6,50+35+22,0.6,4,6;19+4+6,53+38+28,0.5,5,6;19+4+6,58+40+33,0.5,5,6;</v>
      </c>
      <c r="G93" t="s">
        <v>473</v>
      </c>
      <c r="H93" t="str">
        <f t="shared" si="6"/>
        <v>7,101,50,1;15,202,100,2</v>
      </c>
      <c r="I93">
        <v>101</v>
      </c>
      <c r="J93">
        <v>202</v>
      </c>
    </row>
    <row r="94" spans="1:10">
      <c r="A94">
        <v>91</v>
      </c>
      <c r="B94" t="str">
        <f t="shared" si="7"/>
        <v>1,9,8</v>
      </c>
      <c r="C94" s="2">
        <v>1</v>
      </c>
      <c r="D94" s="2">
        <v>9</v>
      </c>
      <c r="E94" s="2">
        <v>8</v>
      </c>
      <c r="F94" t="str">
        <f t="shared" si="8"/>
        <v>1,4,1.5,1,1;1,6,1.2,1,1;1,8,1.2,1,1;1,10,1.1,1,2;1,12,1.1,1,2;1+9,14,1,1,2;1+9,15+8,1,2,3;1+9,17+9,1,3,4;1+9,20+10,0.9,3,4;1+9,22+12,0.9,3,4;1+9,27+20,0.9,3,4;1+9,30+23,0.9,3,4;1+9+8,32+24+3,0.8,3,4;1+9+8,30+25+8,0.8,3,4;1+9+8,35+25+12,0.8,4,5;1+9+8,40+28+15,0.7,4,5;1+9+8,45+30+20,0.7,4,5;1+9+8,50+35+22,0.6,4,6;1+9+8,53+38+28,0.5,5,6;1+9+8,58+40+33,0.5,5,6;</v>
      </c>
      <c r="G94" t="s">
        <v>473</v>
      </c>
      <c r="H94" t="str">
        <f t="shared" si="6"/>
        <v>7,102,50,1;15,203,100,2</v>
      </c>
      <c r="I94">
        <v>102</v>
      </c>
      <c r="J94">
        <v>203</v>
      </c>
    </row>
    <row r="95" spans="1:10">
      <c r="A95">
        <v>92</v>
      </c>
      <c r="B95" t="str">
        <f t="shared" si="7"/>
        <v>5,12,10</v>
      </c>
      <c r="C95" s="2">
        <v>5</v>
      </c>
      <c r="D95" s="2">
        <v>12</v>
      </c>
      <c r="E95" s="2">
        <v>10</v>
      </c>
      <c r="F95" t="str">
        <f t="shared" si="8"/>
        <v>5,4,1.5,1,1;5,6,1.2,1,1;5,8,1.2,1,1;5,10,1.1,1,2;5,12,1.1,1,2;5+12,14,1,1,2;5+12,15+8,1,2,3;5+12,17+9,1,3,4;5+12,20+10,0.9,3,4;5+12,22+12,0.9,3,4;5+12,27+20,0.9,3,4;5+12,30+23,0.9,3,4;5+12+10,32+24+3,0.8,3,4;5+12+10,30+25+8,0.8,3,4;5+12+10,35+25+12,0.8,4,5;5+12+10,40+28+15,0.7,4,5;5+12+10,45+30+20,0.7,4,5;5+12+10,50+35+22,0.6,4,6;5+12+10,53+38+28,0.5,5,6;5+12+10,58+40+33,0.5,5,6;</v>
      </c>
      <c r="G95" t="s">
        <v>473</v>
      </c>
      <c r="H95" t="str">
        <f t="shared" si="6"/>
        <v>7,101,50,1;15,201,100,2</v>
      </c>
      <c r="I95">
        <v>101</v>
      </c>
      <c r="J95">
        <v>201</v>
      </c>
    </row>
    <row r="96" spans="1:10">
      <c r="A96">
        <v>93</v>
      </c>
      <c r="B96" t="str">
        <f t="shared" si="7"/>
        <v>7,9,11</v>
      </c>
      <c r="C96" s="2">
        <v>7</v>
      </c>
      <c r="D96" s="2">
        <v>9</v>
      </c>
      <c r="E96" s="2">
        <v>11</v>
      </c>
      <c r="F96" t="str">
        <f t="shared" si="8"/>
        <v>7,4,1.5,1,1;7,6,1.2,1,1;7,8,1.2,1,1;7,10,1.1,1,2;7,12,1.1,1,2;7+9,14,1,1,2;7+9,15+8,1,2,3;7+9,17+9,1,3,4;7+9,20+10,0.9,3,4;7+9,22+12,0.9,3,4;7+9,27+20,0.9,3,4;7+9,30+23,0.9,3,4;7+9+11,32+24+3,0.8,3,4;7+9+11,30+25+8,0.8,3,4;7+9+11,35+25+12,0.8,4,5;7+9+11,40+28+15,0.7,4,5;7+9+11,45+30+20,0.7,4,5;7+9+11,50+35+22,0.6,4,6;7+9+11,53+38+28,0.5,5,6;7+9+11,58+40+33,0.5,5,6;</v>
      </c>
      <c r="G96" t="s">
        <v>473</v>
      </c>
      <c r="H96" t="str">
        <f t="shared" si="6"/>
        <v>7,102,50,1;15,202,100,2</v>
      </c>
      <c r="I96">
        <v>102</v>
      </c>
      <c r="J96">
        <v>202</v>
      </c>
    </row>
    <row r="97" spans="1:10">
      <c r="A97">
        <v>94</v>
      </c>
      <c r="B97" t="str">
        <f t="shared" si="7"/>
        <v>13,20,23</v>
      </c>
      <c r="C97" s="2">
        <v>13</v>
      </c>
      <c r="D97" s="2">
        <v>20</v>
      </c>
      <c r="E97" s="2">
        <v>23</v>
      </c>
      <c r="F97" t="str">
        <f t="shared" si="8"/>
        <v>13,4,1.5,1,1;13,6,1.2,1,1;13,8,1.2,1,1;13,10,1.1,1,2;13,12,1.1,1,2;13+20,14,1,1,2;13+20,15+8,1,2,3;13+20,17+9,1,3,4;13+20,20+10,0.9,3,4;13+20,22+12,0.9,3,4;13+20,27+20,0.9,3,4;13+20,30+23,0.9,3,4;13+20+23,32+24+3,0.8,3,4;13+20+23,30+25+8,0.8,3,4;13+20+23,35+25+12,0.8,4,5;13+20+23,40+28+15,0.7,4,5;13+20+23,45+30+20,0.7,4,5;13+20+23,50+35+22,0.6,4,6;13+20+23,53+38+28,0.5,5,6;13+20+23,58+40+33,0.5,5,6;</v>
      </c>
      <c r="G97" t="s">
        <v>473</v>
      </c>
      <c r="H97" t="str">
        <f t="shared" si="6"/>
        <v>7,101,50,1;15,203,100,2</v>
      </c>
      <c r="I97">
        <v>101</v>
      </c>
      <c r="J97">
        <v>203</v>
      </c>
    </row>
    <row r="98" spans="1:10">
      <c r="A98">
        <v>95</v>
      </c>
      <c r="B98" t="str">
        <f t="shared" si="7"/>
        <v>14,21,26</v>
      </c>
      <c r="C98" s="2">
        <v>14</v>
      </c>
      <c r="D98" s="2">
        <v>21</v>
      </c>
      <c r="E98" s="2">
        <v>26</v>
      </c>
      <c r="F98" t="str">
        <f t="shared" si="8"/>
        <v>14,4,1.5,1,1;14,6,1.2,1,1;14,8,1.2,1,1;14,10,1.1,1,2;14,12,1.1,1,2;14+21,14,1,1,2;14+21,15+8,1,2,3;14+21,17+9,1,3,4;14+21,20+10,0.9,3,4;14+21,22+12,0.9,3,4;14+21,27+20,0.9,3,4;14+21,30+23,0.9,3,4;14+21+26,32+24+3,0.8,3,4;14+21+26,30+25+8,0.8,3,4;14+21+26,35+25+12,0.8,4,5;14+21+26,40+28+15,0.7,4,5;14+21+26,45+30+20,0.7,4,5;14+21+26,50+35+22,0.6,4,6;14+21+26,53+38+28,0.5,5,6;14+21+26,58+40+33,0.5,5,6;</v>
      </c>
      <c r="G98" t="s">
        <v>473</v>
      </c>
      <c r="H98" t="str">
        <f t="shared" si="6"/>
        <v>7,102,50,1;15,201,100,2</v>
      </c>
      <c r="I98">
        <v>102</v>
      </c>
      <c r="J98">
        <v>201</v>
      </c>
    </row>
    <row r="99" spans="1:10">
      <c r="A99">
        <v>96</v>
      </c>
      <c r="B99" t="str">
        <f t="shared" si="7"/>
        <v>16,22,28</v>
      </c>
      <c r="C99" s="2">
        <v>16</v>
      </c>
      <c r="D99" s="2">
        <v>22</v>
      </c>
      <c r="E99" s="2">
        <v>28</v>
      </c>
      <c r="F99" t="str">
        <f t="shared" si="8"/>
        <v>16,4,1.5,1,1;16,6,1.2,1,1;16,8,1.2,1,1;16,10,1.1,1,2;16,12,1.1,1,2;16+22,14,1,1,2;16+22,15+8,1,2,3;16+22,17+9,1,3,4;16+22,20+10,0.9,3,4;16+22,22+12,0.9,3,4;16+22,27+20,0.9,3,4;16+22,30+23,0.9,3,4;16+22+28,32+24+3,0.8,3,4;16+22+28,30+25+8,0.8,3,4;16+22+28,35+25+12,0.8,4,5;16+22+28,40+28+15,0.7,4,5;16+22+28,45+30+20,0.7,4,5;16+22+28,50+35+22,0.6,4,6;16+22+28,53+38+28,0.5,5,6;16+22+28,58+40+33,0.5,5,6;</v>
      </c>
      <c r="G99" t="s">
        <v>473</v>
      </c>
      <c r="H99" t="str">
        <f t="shared" si="6"/>
        <v>7,101,50,1;15,202,100,2</v>
      </c>
      <c r="I99">
        <v>101</v>
      </c>
      <c r="J99">
        <v>202</v>
      </c>
    </row>
    <row r="100" spans="1:10">
      <c r="A100">
        <v>97</v>
      </c>
      <c r="B100" t="str">
        <f t="shared" si="7"/>
        <v>17,24,3</v>
      </c>
      <c r="C100" s="2">
        <v>17</v>
      </c>
      <c r="D100" s="2">
        <v>24</v>
      </c>
      <c r="E100" s="2">
        <v>3</v>
      </c>
      <c r="F100" t="str">
        <f t="shared" si="8"/>
        <v>17,4,1.5,1,1;17,6,1.2,1,1;17,8,1.2,1,1;17,10,1.1,1,2;17,12,1.1,1,2;17+24,14,1,1,2;17+24,15+8,1,2,3;17+24,17+9,1,3,4;17+24,20+10,0.9,3,4;17+24,22+12,0.9,3,4;17+24,27+20,0.9,3,4;17+24,30+23,0.9,3,4;17+24+3,32+24+3,0.8,3,4;17+24+3,30+25+8,0.8,3,4;17+24+3,35+25+12,0.8,4,5;17+24+3,40+28+15,0.7,4,5;17+24+3,45+30+20,0.7,4,5;17+24+3,50+35+22,0.6,4,6;17+24+3,53+38+28,0.5,5,6;17+24+3,58+40+33,0.5,5,6;</v>
      </c>
      <c r="G100" t="s">
        <v>473</v>
      </c>
      <c r="H100" t="str">
        <f t="shared" si="6"/>
        <v>7,102,50,1;15,203,100,2</v>
      </c>
      <c r="I100">
        <v>102</v>
      </c>
      <c r="J100">
        <v>203</v>
      </c>
    </row>
    <row r="101" spans="1:10">
      <c r="A101">
        <v>98</v>
      </c>
      <c r="B101" t="str">
        <f t="shared" si="7"/>
        <v>18,25,6</v>
      </c>
      <c r="C101" s="2">
        <v>18</v>
      </c>
      <c r="D101" s="2">
        <v>25</v>
      </c>
      <c r="E101" s="2">
        <v>6</v>
      </c>
      <c r="F101" t="str">
        <f t="shared" si="8"/>
        <v>18,4,1.5,1,1;18,6,1.2,1,1;18,8,1.2,1,1;18,10,1.1,1,2;18,12,1.1,1,2;18+25,14,1,1,2;18+25,15+8,1,2,3;18+25,17+9,1,3,4;18+25,20+10,0.9,3,4;18+25,22+12,0.9,3,4;18+25,27+20,0.9,3,4;18+25,30+23,0.9,3,4;18+25+6,32+24+3,0.8,3,4;18+25+6,30+25+8,0.8,3,4;18+25+6,35+25+12,0.8,4,5;18+25+6,40+28+15,0.7,4,5;18+25+6,45+30+20,0.7,4,5;18+25+6,50+35+22,0.6,4,6;18+25+6,53+38+28,0.5,5,6;18+25+6,58+40+33,0.5,5,6;</v>
      </c>
      <c r="G101" t="s">
        <v>473</v>
      </c>
      <c r="H101" t="str">
        <f t="shared" si="6"/>
        <v>7,101,50,1;15,201,100,2</v>
      </c>
      <c r="I101">
        <v>101</v>
      </c>
      <c r="J101">
        <v>201</v>
      </c>
    </row>
    <row r="102" spans="1:10">
      <c r="A102">
        <v>99</v>
      </c>
      <c r="B102" t="str">
        <f t="shared" si="7"/>
        <v>19,27,8</v>
      </c>
      <c r="C102" s="2">
        <v>19</v>
      </c>
      <c r="D102" s="2">
        <v>27</v>
      </c>
      <c r="E102" s="2">
        <v>8</v>
      </c>
      <c r="F102" t="str">
        <f t="shared" si="8"/>
        <v>19,4,1.5,1,1;19,6,1.2,1,1;19,8,1.2,1,1;19,10,1.1,1,2;19,12,1.1,1,2;19+27,14,1,1,2;19+27,15+8,1,2,3;19+27,17+9,1,3,4;19+27,20+10,0.9,3,4;19+27,22+12,0.9,3,4;19+27,27+20,0.9,3,4;19+27,30+23,0.9,3,4;19+27+8,32+24+3,0.8,3,4;19+27+8,30+25+8,0.8,3,4;19+27+8,35+25+12,0.8,4,5;19+27+8,40+28+15,0.7,4,5;19+27+8,45+30+20,0.7,4,5;19+27+8,50+35+22,0.6,4,6;19+27+8,53+38+28,0.5,5,6;19+27+8,58+40+33,0.5,5,6;</v>
      </c>
      <c r="G102" t="s">
        <v>473</v>
      </c>
      <c r="H102" t="str">
        <f t="shared" si="6"/>
        <v>7,102,50,1;15,202,100,2</v>
      </c>
      <c r="I102">
        <v>102</v>
      </c>
      <c r="J102">
        <v>202</v>
      </c>
    </row>
    <row r="103" spans="1:10">
      <c r="A103">
        <v>100</v>
      </c>
      <c r="B103" t="str">
        <f t="shared" si="7"/>
        <v>1,2,10</v>
      </c>
      <c r="C103" s="2">
        <v>1</v>
      </c>
      <c r="D103" s="2">
        <v>2</v>
      </c>
      <c r="E103" s="2">
        <v>10</v>
      </c>
      <c r="F103" t="str">
        <f t="shared" si="8"/>
        <v>1,4,1.5,1,1;1,6,1.2,1,1;1,8,1.2,1,1;1,10,1.1,1,2;1,12,1.1,1,2;1+2,14,1,1,2;1+2,15+8,1,2,3;1+2,17+9,1,3,4;1+2,20+10,0.9,3,4;1+2,22+12,0.9,3,4;1+2,27+20,0.9,3,4;1+2,30+23,0.9,3,4;1+2+10,32+24+3,0.8,3,4;1+2+10,30+25+8,0.8,3,4;1+2+10,35+25+12,0.8,4,5;1+2+10,40+28+15,0.7,4,5;1+2+10,45+30+20,0.7,4,5;1+2+10,50+35+22,0.6,4,6;1+2+10,53+38+28,0.5,5,6;1+2+10,58+40+33,0.5,5,6;</v>
      </c>
      <c r="G103" t="s">
        <v>473</v>
      </c>
      <c r="H103" t="str">
        <f t="shared" si="6"/>
        <v>7,101,50,1;15,203,100,2</v>
      </c>
      <c r="I103">
        <v>101</v>
      </c>
      <c r="J103">
        <v>203</v>
      </c>
    </row>
    <row r="104" spans="1:10">
      <c r="A104">
        <v>101</v>
      </c>
      <c r="B104" t="str">
        <f t="shared" si="7"/>
        <v>5,5,11</v>
      </c>
      <c r="C104" s="2">
        <v>5</v>
      </c>
      <c r="D104" s="2">
        <v>5</v>
      </c>
      <c r="E104" s="2">
        <v>11</v>
      </c>
      <c r="F104" t="str">
        <f t="shared" si="8"/>
        <v>5,4,1.5,1,1;5,6,1.2,1,1;5,8,1.2,1,1;5,10,1.1,1,2;5,12,1.1,1,2;5+5,14,1,1,2;5+5,15+8,1,2,3;5+5,17+9,1,3,4;5+5,20+10,0.9,3,4;5+5,22+12,0.9,3,4;5+5,27+20,0.9,3,4;5+5,30+23,0.9,3,4;5+5+11,32+24+3,0.8,3,4;5+5+11,30+25+8,0.8,3,4;5+5+11,35+25+12,0.8,4,5;5+5+11,40+28+15,0.7,4,5;5+5+11,45+30+20,0.7,4,5;5+5+11,50+35+22,0.6,4,6;5+5+11,53+38+28,0.5,5,6;5+5+11,58+40+33,0.5,5,6;</v>
      </c>
      <c r="G104" t="s">
        <v>473</v>
      </c>
      <c r="H104" t="str">
        <f t="shared" si="6"/>
        <v>7,102,50,1;15,201,100,2</v>
      </c>
      <c r="I104">
        <v>102</v>
      </c>
      <c r="J104">
        <v>201</v>
      </c>
    </row>
    <row r="105" spans="1:10">
      <c r="A105">
        <v>102</v>
      </c>
      <c r="B105" t="str">
        <f t="shared" si="7"/>
        <v>7,9,23</v>
      </c>
      <c r="C105" s="2">
        <v>7</v>
      </c>
      <c r="D105" s="2">
        <v>9</v>
      </c>
      <c r="E105" s="2">
        <v>23</v>
      </c>
      <c r="F105" t="str">
        <f t="shared" si="8"/>
        <v>7,4,1.5,1,1;7,6,1.2,1,1;7,8,1.2,1,1;7,10,1.1,1,2;7,12,1.1,1,2;7+9,14,1,1,2;7+9,15+8,1,2,3;7+9,17+9,1,3,4;7+9,20+10,0.9,3,4;7+9,22+12,0.9,3,4;7+9,27+20,0.9,3,4;7+9,30+23,0.9,3,4;7+9+23,32+24+3,0.8,3,4;7+9+23,30+25+8,0.8,3,4;7+9+23,35+25+12,0.8,4,5;7+9+23,40+28+15,0.7,4,5;7+9+23,45+30+20,0.7,4,5;7+9+23,50+35+22,0.6,4,6;7+9+23,53+38+28,0.5,5,6;7+9+23,58+40+33,0.5,5,6;</v>
      </c>
      <c r="G105" t="s">
        <v>473</v>
      </c>
      <c r="H105" t="str">
        <f t="shared" si="6"/>
        <v>7,101,50,1;15,202,100,2</v>
      </c>
      <c r="I105">
        <v>101</v>
      </c>
      <c r="J105">
        <v>202</v>
      </c>
    </row>
    <row r="106" spans="1:10">
      <c r="A106">
        <v>103</v>
      </c>
      <c r="B106" t="str">
        <f t="shared" si="7"/>
        <v>13,12,26</v>
      </c>
      <c r="C106" s="2">
        <v>13</v>
      </c>
      <c r="D106" s="2">
        <v>12</v>
      </c>
      <c r="E106" s="2">
        <v>26</v>
      </c>
      <c r="F106" t="str">
        <f t="shared" si="8"/>
        <v>13,4,1.5,1,1;13,6,1.2,1,1;13,8,1.2,1,1;13,10,1.1,1,2;13,12,1.1,1,2;13+12,14,1,1,2;13+12,15+8,1,2,3;13+12,17+9,1,3,4;13+12,20+10,0.9,3,4;13+12,22+12,0.9,3,4;13+12,27+20,0.9,3,4;13+12,30+23,0.9,3,4;13+12+26,32+24+3,0.8,3,4;13+12+26,30+25+8,0.8,3,4;13+12+26,35+25+12,0.8,4,5;13+12+26,40+28+15,0.7,4,5;13+12+26,45+30+20,0.7,4,5;13+12+26,50+35+22,0.6,4,6;13+12+26,53+38+28,0.5,5,6;13+12+26,58+40+33,0.5,5,6;</v>
      </c>
      <c r="G106" t="s">
        <v>473</v>
      </c>
      <c r="H106" t="str">
        <f t="shared" si="6"/>
        <v>7,102,50,1;15,203,100,2</v>
      </c>
      <c r="I106">
        <v>102</v>
      </c>
      <c r="J106">
        <v>203</v>
      </c>
    </row>
    <row r="107" spans="1:10">
      <c r="A107">
        <v>104</v>
      </c>
      <c r="B107" t="str">
        <f t="shared" si="7"/>
        <v>18,9,28</v>
      </c>
      <c r="C107" s="2">
        <v>18</v>
      </c>
      <c r="D107" s="2">
        <v>9</v>
      </c>
      <c r="E107" s="2">
        <v>28</v>
      </c>
      <c r="F107" t="str">
        <f t="shared" si="8"/>
        <v>18,4,1.5,1,1;18,6,1.2,1,1;18,8,1.2,1,1;18,10,1.1,1,2;18,12,1.1,1,2;18+9,14,1,1,2;18+9,15+8,1,2,3;18+9,17+9,1,3,4;18+9,20+10,0.9,3,4;18+9,22+12,0.9,3,4;18+9,27+20,0.9,3,4;18+9,30+23,0.9,3,4;18+9+28,32+24+3,0.8,3,4;18+9+28,30+25+8,0.8,3,4;18+9+28,35+25+12,0.8,4,5;18+9+28,40+28+15,0.7,4,5;18+9+28,45+30+20,0.7,4,5;18+9+28,50+35+22,0.6,4,6;18+9+28,53+38+28,0.5,5,6;18+9+28,58+40+33,0.5,5,6;</v>
      </c>
      <c r="G107" t="s">
        <v>473</v>
      </c>
      <c r="H107" t="str">
        <f t="shared" si="6"/>
        <v>7,101,50,1;15,201,100,2</v>
      </c>
      <c r="I107">
        <v>101</v>
      </c>
      <c r="J107">
        <v>201</v>
      </c>
    </row>
    <row r="108" spans="1:10">
      <c r="A108">
        <v>105</v>
      </c>
      <c r="B108" t="str">
        <f t="shared" si="7"/>
        <v>16,20,3</v>
      </c>
      <c r="C108" s="2">
        <v>16</v>
      </c>
      <c r="D108" s="2">
        <v>20</v>
      </c>
      <c r="E108" s="2">
        <v>3</v>
      </c>
      <c r="F108" t="str">
        <f t="shared" si="8"/>
        <v>16,4,1.5,1,1;16,6,1.2,1,1;16,8,1.2,1,1;16,10,1.1,1,2;16,12,1.1,1,2;16+20,14,1,1,2;16+20,15+8,1,2,3;16+20,17+9,1,3,4;16+20,20+10,0.9,3,4;16+20,22+12,0.9,3,4;16+20,27+20,0.9,3,4;16+20,30+23,0.9,3,4;16+20+3,32+24+3,0.8,3,4;16+20+3,30+25+8,0.8,3,4;16+20+3,35+25+12,0.8,4,5;16+20+3,40+28+15,0.7,4,5;16+20+3,45+30+20,0.7,4,5;16+20+3,50+35+22,0.6,4,6;16+20+3,53+38+28,0.5,5,6;16+20+3,58+40+33,0.5,5,6;</v>
      </c>
      <c r="G108" t="s">
        <v>473</v>
      </c>
      <c r="H108" t="str">
        <f t="shared" si="6"/>
        <v>7,102,50,1;15,202,100,2</v>
      </c>
      <c r="I108">
        <v>102</v>
      </c>
      <c r="J108">
        <v>202</v>
      </c>
    </row>
    <row r="109" spans="1:10">
      <c r="A109">
        <v>106</v>
      </c>
      <c r="B109" t="str">
        <f t="shared" si="7"/>
        <v>17,21,6</v>
      </c>
      <c r="C109" s="2">
        <v>17</v>
      </c>
      <c r="D109" s="2">
        <v>21</v>
      </c>
      <c r="E109" s="2">
        <v>6</v>
      </c>
      <c r="F109" t="str">
        <f t="shared" si="8"/>
        <v>17,4,1.5,1,1;17,6,1.2,1,1;17,8,1.2,1,1;17,10,1.1,1,2;17,12,1.1,1,2;17+21,14,1,1,2;17+21,15+8,1,2,3;17+21,17+9,1,3,4;17+21,20+10,0.9,3,4;17+21,22+12,0.9,3,4;17+21,27+20,0.9,3,4;17+21,30+23,0.9,3,4;17+21+6,32+24+3,0.8,3,4;17+21+6,30+25+8,0.8,3,4;17+21+6,35+25+12,0.8,4,5;17+21+6,40+28+15,0.7,4,5;17+21+6,45+30+20,0.7,4,5;17+21+6,50+35+22,0.6,4,6;17+21+6,53+38+28,0.5,5,6;17+21+6,58+40+33,0.5,5,6;</v>
      </c>
      <c r="G109" t="s">
        <v>473</v>
      </c>
      <c r="H109" t="str">
        <f t="shared" si="6"/>
        <v>7,101,50,1;15,203,100,2</v>
      </c>
      <c r="I109">
        <v>101</v>
      </c>
      <c r="J109">
        <v>203</v>
      </c>
    </row>
    <row r="110" spans="1:10">
      <c r="A110">
        <v>107</v>
      </c>
      <c r="B110" t="str">
        <f t="shared" si="7"/>
        <v>18,22,8</v>
      </c>
      <c r="C110" s="2">
        <v>18</v>
      </c>
      <c r="D110" s="2">
        <v>22</v>
      </c>
      <c r="E110" s="2">
        <v>8</v>
      </c>
      <c r="F110" t="str">
        <f t="shared" si="8"/>
        <v>18,4,1.5,1,1;18,6,1.2,1,1;18,8,1.2,1,1;18,10,1.1,1,2;18,12,1.1,1,2;18+22,14,1,1,2;18+22,15+8,1,2,3;18+22,17+9,1,3,4;18+22,20+10,0.9,3,4;18+22,22+12,0.9,3,4;18+22,27+20,0.9,3,4;18+22,30+23,0.9,3,4;18+22+8,32+24+3,0.8,3,4;18+22+8,30+25+8,0.8,3,4;18+22+8,35+25+12,0.8,4,5;18+22+8,40+28+15,0.7,4,5;18+22+8,45+30+20,0.7,4,5;18+22+8,50+35+22,0.6,4,6;18+22+8,53+38+28,0.5,5,6;18+22+8,58+40+33,0.5,5,6;</v>
      </c>
      <c r="G110" t="s">
        <v>473</v>
      </c>
      <c r="H110" t="str">
        <f t="shared" si="6"/>
        <v>7,102,50,1;15,201,100,2</v>
      </c>
      <c r="I110">
        <v>102</v>
      </c>
      <c r="J110">
        <v>201</v>
      </c>
    </row>
    <row r="111" spans="1:10">
      <c r="A111">
        <v>108</v>
      </c>
      <c r="B111" t="str">
        <f t="shared" si="7"/>
        <v>19,24,10</v>
      </c>
      <c r="C111" s="2">
        <v>19</v>
      </c>
      <c r="D111" s="2">
        <v>24</v>
      </c>
      <c r="E111" s="2">
        <v>10</v>
      </c>
      <c r="F111" t="str">
        <f t="shared" si="8"/>
        <v>19,4,1.5,1,1;19,6,1.2,1,1;19,8,1.2,1,1;19,10,1.1,1,2;19,12,1.1,1,2;19+24,14,1,1,2;19+24,15+8,1,2,3;19+24,17+9,1,3,4;19+24,20+10,0.9,3,4;19+24,22+12,0.9,3,4;19+24,27+20,0.9,3,4;19+24,30+23,0.9,3,4;19+24+10,32+24+3,0.8,3,4;19+24+10,30+25+8,0.8,3,4;19+24+10,35+25+12,0.8,4,5;19+24+10,40+28+15,0.7,4,5;19+24+10,45+30+20,0.7,4,5;19+24+10,50+35+22,0.6,4,6;19+24+10,53+38+28,0.5,5,6;19+24+10,58+40+33,0.5,5,6;</v>
      </c>
      <c r="G111" t="s">
        <v>473</v>
      </c>
      <c r="H111" t="str">
        <f t="shared" si="6"/>
        <v>7,101,50,1;15,202,100,2</v>
      </c>
      <c r="I111">
        <v>101</v>
      </c>
      <c r="J111">
        <v>202</v>
      </c>
    </row>
    <row r="112" spans="1:10">
      <c r="A112">
        <v>109</v>
      </c>
      <c r="B112" t="str">
        <f t="shared" si="7"/>
        <v>1,25,11</v>
      </c>
      <c r="C112" s="2">
        <v>1</v>
      </c>
      <c r="D112" s="2">
        <v>25</v>
      </c>
      <c r="E112" s="2">
        <v>11</v>
      </c>
      <c r="F112" t="str">
        <f t="shared" si="8"/>
        <v>1,4,1.5,1,1;1,6,1.2,1,1;1,8,1.2,1,1;1,10,1.1,1,2;1,12,1.1,1,2;1+25,14,1,1,2;1+25,15+8,1,2,3;1+25,17+9,1,3,4;1+25,20+10,0.9,3,4;1+25,22+12,0.9,3,4;1+25,27+20,0.9,3,4;1+25,30+23,0.9,3,4;1+25+11,32+24+3,0.8,3,4;1+25+11,30+25+8,0.8,3,4;1+25+11,35+25+12,0.8,4,5;1+25+11,40+28+15,0.7,4,5;1+25+11,45+30+20,0.7,4,5;1+25+11,50+35+22,0.6,4,6;1+25+11,53+38+28,0.5,5,6;1+25+11,58+40+33,0.5,5,6;</v>
      </c>
      <c r="G112" t="s">
        <v>473</v>
      </c>
      <c r="H112" t="str">
        <f t="shared" si="6"/>
        <v>7,102,50,1;15,203,100,2</v>
      </c>
      <c r="I112">
        <v>102</v>
      </c>
      <c r="J112">
        <v>203</v>
      </c>
    </row>
    <row r="113" spans="1:10">
      <c r="A113">
        <v>110</v>
      </c>
      <c r="B113" t="str">
        <f t="shared" si="7"/>
        <v>5,25,23</v>
      </c>
      <c r="C113" s="2">
        <v>5</v>
      </c>
      <c r="D113" s="2">
        <v>25</v>
      </c>
      <c r="E113" s="2">
        <v>23</v>
      </c>
      <c r="F113" t="str">
        <f t="shared" si="8"/>
        <v>5,4,1.5,1,1;5,6,1.2,1,1;5,8,1.2,1,1;5,10,1.1,1,2;5,12,1.1,1,2;5+25,14,1,1,2;5+25,15+8,1,2,3;5+25,17+9,1,3,4;5+25,20+10,0.9,3,4;5+25,22+12,0.9,3,4;5+25,27+20,0.9,3,4;5+25,30+23,0.9,3,4;5+25+23,32+24+3,0.8,3,4;5+25+23,30+25+8,0.8,3,4;5+25+23,35+25+12,0.8,4,5;5+25+23,40+28+15,0.7,4,5;5+25+23,45+30+20,0.7,4,5;5+25+23,50+35+22,0.6,4,6;5+25+23,53+38+28,0.5,5,6;5+25+23,58+40+33,0.5,5,6;</v>
      </c>
      <c r="G113" t="s">
        <v>473</v>
      </c>
      <c r="H113" t="str">
        <f t="shared" si="6"/>
        <v>7,101,50,1;15,201,100,2</v>
      </c>
      <c r="I113">
        <v>101</v>
      </c>
      <c r="J113">
        <v>201</v>
      </c>
    </row>
    <row r="114" spans="1:10">
      <c r="A114">
        <v>111</v>
      </c>
      <c r="B114" t="str">
        <f t="shared" si="7"/>
        <v>7,2,26</v>
      </c>
      <c r="C114" s="2">
        <v>7</v>
      </c>
      <c r="D114" s="2">
        <v>2</v>
      </c>
      <c r="E114" s="2">
        <v>26</v>
      </c>
      <c r="F114" t="str">
        <f t="shared" si="8"/>
        <v>7,4,1.5,1,1;7,6,1.2,1,1;7,8,1.2,1,1;7,10,1.1,1,2;7,12,1.1,1,2;7+2,14,1,1,2;7+2,15+8,1,2,3;7+2,17+9,1,3,4;7+2,20+10,0.9,3,4;7+2,22+12,0.9,3,4;7+2,27+20,0.9,3,4;7+2,30+23,0.9,3,4;7+2+26,32+24+3,0.8,3,4;7+2+26,30+25+8,0.8,3,4;7+2+26,35+25+12,0.8,4,5;7+2+26,40+28+15,0.7,4,5;7+2+26,45+30+20,0.7,4,5;7+2+26,50+35+22,0.6,4,6;7+2+26,53+38+28,0.5,5,6;7+2+26,58+40+33,0.5,5,6;</v>
      </c>
      <c r="G114" t="s">
        <v>473</v>
      </c>
      <c r="H114" t="str">
        <f t="shared" si="6"/>
        <v>7,102,50,1;15,202,100,2</v>
      </c>
      <c r="I114">
        <v>102</v>
      </c>
      <c r="J114">
        <v>202</v>
      </c>
    </row>
    <row r="115" spans="1:10">
      <c r="A115">
        <v>112</v>
      </c>
      <c r="B115" t="str">
        <f t="shared" si="7"/>
        <v>13,5,28</v>
      </c>
      <c r="C115" s="2">
        <v>13</v>
      </c>
      <c r="D115" s="2">
        <v>5</v>
      </c>
      <c r="E115" s="2">
        <v>28</v>
      </c>
      <c r="F115" t="str">
        <f t="shared" si="8"/>
        <v>13,4,1.5,1,1;13,6,1.2,1,1;13,8,1.2,1,1;13,10,1.1,1,2;13,12,1.1,1,2;13+5,14,1,1,2;13+5,15+8,1,2,3;13+5,17+9,1,3,4;13+5,20+10,0.9,3,4;13+5,22+12,0.9,3,4;13+5,27+20,0.9,3,4;13+5,30+23,0.9,3,4;13+5+28,32+24+3,0.8,3,4;13+5+28,30+25+8,0.8,3,4;13+5+28,35+25+12,0.8,4,5;13+5+28,40+28+15,0.7,4,5;13+5+28,45+30+20,0.7,4,5;13+5+28,50+35+22,0.6,4,6;13+5+28,53+38+28,0.5,5,6;13+5+28,58+40+33,0.5,5,6;</v>
      </c>
      <c r="G115" t="s">
        <v>473</v>
      </c>
      <c r="H115" t="str">
        <f t="shared" si="6"/>
        <v>7,101,50,1;15,203,100,2</v>
      </c>
      <c r="I115">
        <v>101</v>
      </c>
      <c r="J115">
        <v>203</v>
      </c>
    </row>
    <row r="116" spans="1:10">
      <c r="A116">
        <v>113</v>
      </c>
      <c r="B116" t="str">
        <f t="shared" si="7"/>
        <v>18,9,3</v>
      </c>
      <c r="C116" s="2">
        <v>18</v>
      </c>
      <c r="D116" s="2">
        <v>9</v>
      </c>
      <c r="E116" s="2">
        <v>3</v>
      </c>
      <c r="F116" t="str">
        <f t="shared" si="8"/>
        <v>18,4,1.5,1,1;18,6,1.2,1,1;18,8,1.2,1,1;18,10,1.1,1,2;18,12,1.1,1,2;18+9,14,1,1,2;18+9,15+8,1,2,3;18+9,17+9,1,3,4;18+9,20+10,0.9,3,4;18+9,22+12,0.9,3,4;18+9,27+20,0.9,3,4;18+9,30+23,0.9,3,4;18+9+3,32+24+3,0.8,3,4;18+9+3,30+25+8,0.8,3,4;18+9+3,35+25+12,0.8,4,5;18+9+3,40+28+15,0.7,4,5;18+9+3,45+30+20,0.7,4,5;18+9+3,50+35+22,0.6,4,6;18+9+3,53+38+28,0.5,5,6;18+9+3,58+40+33,0.5,5,6;</v>
      </c>
      <c r="G116" t="s">
        <v>473</v>
      </c>
      <c r="H116" t="str">
        <f t="shared" si="6"/>
        <v>7,102,50,1;15,201,100,2</v>
      </c>
      <c r="I116">
        <v>102</v>
      </c>
      <c r="J116">
        <v>201</v>
      </c>
    </row>
    <row r="117" spans="1:10">
      <c r="A117">
        <v>114</v>
      </c>
      <c r="B117" t="str">
        <f t="shared" si="7"/>
        <v>16,12,6</v>
      </c>
      <c r="C117" s="2">
        <v>16</v>
      </c>
      <c r="D117" s="2">
        <v>12</v>
      </c>
      <c r="E117" s="2">
        <v>6</v>
      </c>
      <c r="F117" t="str">
        <f t="shared" si="8"/>
        <v>16,4,1.5,1,1;16,6,1.2,1,1;16,8,1.2,1,1;16,10,1.1,1,2;16,12,1.1,1,2;16+12,14,1,1,2;16+12,15+8,1,2,3;16+12,17+9,1,3,4;16+12,20+10,0.9,3,4;16+12,22+12,0.9,3,4;16+12,27+20,0.9,3,4;16+12,30+23,0.9,3,4;16+12+6,32+24+3,0.8,3,4;16+12+6,30+25+8,0.8,3,4;16+12+6,35+25+12,0.8,4,5;16+12+6,40+28+15,0.7,4,5;16+12+6,45+30+20,0.7,4,5;16+12+6,50+35+22,0.6,4,6;16+12+6,53+38+28,0.5,5,6;16+12+6,58+40+33,0.5,5,6;</v>
      </c>
      <c r="G117" t="s">
        <v>473</v>
      </c>
      <c r="H117" t="str">
        <f t="shared" si="6"/>
        <v>7,101,50,1;15,202,100,2</v>
      </c>
      <c r="I117">
        <v>101</v>
      </c>
      <c r="J117">
        <v>202</v>
      </c>
    </row>
    <row r="118" spans="1:10">
      <c r="A118">
        <v>115</v>
      </c>
      <c r="B118" t="str">
        <f t="shared" si="7"/>
        <v>17,15,8</v>
      </c>
      <c r="C118" s="2">
        <v>17</v>
      </c>
      <c r="D118" s="2">
        <v>15</v>
      </c>
      <c r="E118" s="2">
        <v>8</v>
      </c>
      <c r="F118" t="str">
        <f t="shared" si="8"/>
        <v>17,4,1.5,1,1;17,6,1.2,1,1;17,8,1.2,1,1;17,10,1.1,1,2;17,12,1.1,1,2;17+15,14,1,1,2;17+15,15+8,1,2,3;17+15,17+9,1,3,4;17+15,20+10,0.9,3,4;17+15,22+12,0.9,3,4;17+15,27+20,0.9,3,4;17+15,30+23,0.9,3,4;17+15+8,32+24+3,0.8,3,4;17+15+8,30+25+8,0.8,3,4;17+15+8,35+25+12,0.8,4,5;17+15+8,40+28+15,0.7,4,5;17+15+8,45+30+20,0.7,4,5;17+15+8,50+35+22,0.6,4,6;17+15+8,53+38+28,0.5,5,6;17+15+8,58+40+33,0.5,5,6;</v>
      </c>
      <c r="G118" t="s">
        <v>473</v>
      </c>
      <c r="H118" t="str">
        <f t="shared" si="6"/>
        <v>7,102,50,1;15,203,100,2</v>
      </c>
      <c r="I118">
        <v>102</v>
      </c>
      <c r="J118">
        <v>203</v>
      </c>
    </row>
    <row r="119" spans="1:10">
      <c r="A119">
        <v>116</v>
      </c>
      <c r="B119" t="str">
        <f t="shared" si="7"/>
        <v>18,20,10</v>
      </c>
      <c r="C119" s="2">
        <v>18</v>
      </c>
      <c r="D119" s="2">
        <v>20</v>
      </c>
      <c r="E119" s="2">
        <v>10</v>
      </c>
      <c r="F119" t="str">
        <f t="shared" si="8"/>
        <v>18,4,1.5,1,1;18,6,1.2,1,1;18,8,1.2,1,1;18,10,1.1,1,2;18,12,1.1,1,2;18+20,14,1,1,2;18+20,15+8,1,2,3;18+20,17+9,1,3,4;18+20,20+10,0.9,3,4;18+20,22+12,0.9,3,4;18+20,27+20,0.9,3,4;18+20,30+23,0.9,3,4;18+20+10,32+24+3,0.8,3,4;18+20+10,30+25+8,0.8,3,4;18+20+10,35+25+12,0.8,4,5;18+20+10,40+28+15,0.7,4,5;18+20+10,45+30+20,0.7,4,5;18+20+10,50+35+22,0.6,4,6;18+20+10,53+38+28,0.5,5,6;18+20+10,58+40+33,0.5,5,6;</v>
      </c>
      <c r="G119" t="s">
        <v>473</v>
      </c>
      <c r="H119" t="str">
        <f t="shared" si="6"/>
        <v>7,101,50,1;15,201,100,2</v>
      </c>
      <c r="I119">
        <v>101</v>
      </c>
      <c r="J119">
        <v>201</v>
      </c>
    </row>
    <row r="120" spans="1:10">
      <c r="A120">
        <v>117</v>
      </c>
      <c r="B120" t="str">
        <f t="shared" si="7"/>
        <v>19,21,11</v>
      </c>
      <c r="C120" s="2">
        <v>19</v>
      </c>
      <c r="D120" s="2">
        <v>21</v>
      </c>
      <c r="E120" s="2">
        <v>11</v>
      </c>
      <c r="F120" t="str">
        <f t="shared" si="8"/>
        <v>19,4,1.5,1,1;19,6,1.2,1,1;19,8,1.2,1,1;19,10,1.1,1,2;19,12,1.1,1,2;19+21,14,1,1,2;19+21,15+8,1,2,3;19+21,17+9,1,3,4;19+21,20+10,0.9,3,4;19+21,22+12,0.9,3,4;19+21,27+20,0.9,3,4;19+21,30+23,0.9,3,4;19+21+11,32+24+3,0.8,3,4;19+21+11,30+25+8,0.8,3,4;19+21+11,35+25+12,0.8,4,5;19+21+11,40+28+15,0.7,4,5;19+21+11,45+30+20,0.7,4,5;19+21+11,50+35+22,0.6,4,6;19+21+11,53+38+28,0.5,5,6;19+21+11,58+40+33,0.5,5,6;</v>
      </c>
      <c r="G120" t="s">
        <v>473</v>
      </c>
      <c r="H120" t="str">
        <f t="shared" si="6"/>
        <v>7,102,50,1;15,202,100,2</v>
      </c>
      <c r="I120">
        <v>102</v>
      </c>
      <c r="J120">
        <v>202</v>
      </c>
    </row>
    <row r="121" spans="1:10">
      <c r="A121">
        <v>118</v>
      </c>
      <c r="B121" t="str">
        <f t="shared" si="7"/>
        <v>1,22,23</v>
      </c>
      <c r="C121" s="2">
        <v>1</v>
      </c>
      <c r="D121" s="2">
        <v>22</v>
      </c>
      <c r="E121" s="2">
        <v>23</v>
      </c>
      <c r="F121" t="str">
        <f t="shared" si="8"/>
        <v>1,4,1.5,1,1;1,6,1.2,1,1;1,8,1.2,1,1;1,10,1.1,1,2;1,12,1.1,1,2;1+22,14,1,1,2;1+22,15+8,1,2,3;1+22,17+9,1,3,4;1+22,20+10,0.9,3,4;1+22,22+12,0.9,3,4;1+22,27+20,0.9,3,4;1+22,30+23,0.9,3,4;1+22+23,32+24+3,0.8,3,4;1+22+23,30+25+8,0.8,3,4;1+22+23,35+25+12,0.8,4,5;1+22+23,40+28+15,0.7,4,5;1+22+23,45+30+20,0.7,4,5;1+22+23,50+35+22,0.6,4,6;1+22+23,53+38+28,0.5,5,6;1+22+23,58+40+33,0.5,5,6;</v>
      </c>
      <c r="G121" t="s">
        <v>473</v>
      </c>
      <c r="H121" t="str">
        <f t="shared" si="6"/>
        <v>7,101,50,1;15,203,100,2</v>
      </c>
      <c r="I121">
        <v>101</v>
      </c>
      <c r="J121">
        <v>203</v>
      </c>
    </row>
    <row r="122" spans="1:10">
      <c r="A122">
        <v>119</v>
      </c>
      <c r="B122" t="str">
        <f t="shared" si="7"/>
        <v>5,24,26</v>
      </c>
      <c r="C122" s="2">
        <v>5</v>
      </c>
      <c r="D122" s="2">
        <v>24</v>
      </c>
      <c r="E122" s="2">
        <v>26</v>
      </c>
      <c r="F122" t="str">
        <f t="shared" si="8"/>
        <v>5,4,1.5,1,1;5,6,1.2,1,1;5,8,1.2,1,1;5,10,1.1,1,2;5,12,1.1,1,2;5+24,14,1,1,2;5+24,15+8,1,2,3;5+24,17+9,1,3,4;5+24,20+10,0.9,3,4;5+24,22+12,0.9,3,4;5+24,27+20,0.9,3,4;5+24,30+23,0.9,3,4;5+24+26,32+24+3,0.8,3,4;5+24+26,30+25+8,0.8,3,4;5+24+26,35+25+12,0.8,4,5;5+24+26,40+28+15,0.7,4,5;5+24+26,45+30+20,0.7,4,5;5+24+26,50+35+22,0.6,4,6;5+24+26,53+38+28,0.5,5,6;5+24+26,58+40+33,0.5,5,6;</v>
      </c>
      <c r="G122" t="s">
        <v>473</v>
      </c>
      <c r="H122" t="str">
        <f t="shared" si="6"/>
        <v>7,102,50,1;15,201,100,2</v>
      </c>
      <c r="I122">
        <v>102</v>
      </c>
      <c r="J122">
        <v>201</v>
      </c>
    </row>
    <row r="123" spans="1:10">
      <c r="A123">
        <v>120</v>
      </c>
      <c r="B123" t="str">
        <f t="shared" si="7"/>
        <v>7,25,28</v>
      </c>
      <c r="C123" s="2">
        <v>7</v>
      </c>
      <c r="D123" s="2">
        <v>25</v>
      </c>
      <c r="E123" s="2">
        <v>28</v>
      </c>
      <c r="F123" t="str">
        <f t="shared" si="8"/>
        <v>7,4,1.5,1,1;7,6,1.2,1,1;7,8,1.2,1,1;7,10,1.1,1,2;7,12,1.1,1,2;7+25,14,1,1,2;7+25,15+8,1,2,3;7+25,17+9,1,3,4;7+25,20+10,0.9,3,4;7+25,22+12,0.9,3,4;7+25,27+20,0.9,3,4;7+25,30+23,0.9,3,4;7+25+28,32+24+3,0.8,3,4;7+25+28,30+25+8,0.8,3,4;7+25+28,35+25+12,0.8,4,5;7+25+28,40+28+15,0.7,4,5;7+25+28,45+30+20,0.7,4,5;7+25+28,50+35+22,0.6,4,6;7+25+28,53+38+28,0.5,5,6;7+25+28,58+40+33,0.5,5,6;</v>
      </c>
      <c r="G123" t="s">
        <v>473</v>
      </c>
      <c r="H123" t="str">
        <f t="shared" si="6"/>
        <v>7,101,50,1;15,202,100,2</v>
      </c>
      <c r="I123">
        <v>101</v>
      </c>
      <c r="J123">
        <v>202</v>
      </c>
    </row>
    <row r="124" spans="1:10">
      <c r="A124">
        <v>121</v>
      </c>
      <c r="B124" t="str">
        <f t="shared" si="7"/>
        <v>13,25,3</v>
      </c>
      <c r="C124" s="2">
        <v>13</v>
      </c>
      <c r="D124" s="2">
        <v>25</v>
      </c>
      <c r="E124" s="2">
        <v>3</v>
      </c>
      <c r="F124" t="str">
        <f t="shared" si="8"/>
        <v>13,4,1.5,1,1;13,6,1.2,1,1;13,8,1.2,1,1;13,10,1.1,1,2;13,12,1.1,1,2;13+25,14,1,1,2;13+25,15+8,1,2,3;13+25,17+9,1,3,4;13+25,20+10,0.9,3,4;13+25,22+12,0.9,3,4;13+25,27+20,0.9,3,4;13+25,30+23,0.9,3,4;13+25+3,32+24+3,0.8,3,4;13+25+3,30+25+8,0.8,3,4;13+25+3,35+25+12,0.8,4,5;13+25+3,40+28+15,0.7,4,5;13+25+3,45+30+20,0.7,4,5;13+25+3,50+35+22,0.6,4,6;13+25+3,53+38+28,0.5,5,6;13+25+3,58+40+33,0.5,5,6;</v>
      </c>
      <c r="G124" t="s">
        <v>473</v>
      </c>
      <c r="H124" t="str">
        <f t="shared" si="6"/>
        <v>7,102,50,1;15,203,100,2</v>
      </c>
      <c r="I124">
        <v>102</v>
      </c>
      <c r="J124">
        <v>203</v>
      </c>
    </row>
    <row r="125" spans="1:10">
      <c r="A125">
        <v>122</v>
      </c>
      <c r="B125" t="str">
        <f t="shared" si="7"/>
        <v>14,2,6</v>
      </c>
      <c r="C125" s="2">
        <v>14</v>
      </c>
      <c r="D125" s="2">
        <v>2</v>
      </c>
      <c r="E125" s="2">
        <v>6</v>
      </c>
      <c r="F125" t="str">
        <f t="shared" si="8"/>
        <v>14,4,1.5,1,1;14,6,1.2,1,1;14,8,1.2,1,1;14,10,1.1,1,2;14,12,1.1,1,2;14+2,14,1,1,2;14+2,15+8,1,2,3;14+2,17+9,1,3,4;14+2,20+10,0.9,3,4;14+2,22+12,0.9,3,4;14+2,27+20,0.9,3,4;14+2,30+23,0.9,3,4;14+2+6,32+24+3,0.8,3,4;14+2+6,30+25+8,0.8,3,4;14+2+6,35+25+12,0.8,4,5;14+2+6,40+28+15,0.7,4,5;14+2+6,45+30+20,0.7,4,5;14+2+6,50+35+22,0.6,4,6;14+2+6,53+38+28,0.5,5,6;14+2+6,58+40+33,0.5,5,6;</v>
      </c>
      <c r="G125" t="s">
        <v>473</v>
      </c>
      <c r="H125" t="str">
        <f t="shared" si="6"/>
        <v>7,101,50,1;15,201,100,2</v>
      </c>
      <c r="I125">
        <v>101</v>
      </c>
      <c r="J125">
        <v>201</v>
      </c>
    </row>
    <row r="126" spans="1:10">
      <c r="A126">
        <v>123</v>
      </c>
      <c r="B126" t="str">
        <f t="shared" si="7"/>
        <v>16,4,8</v>
      </c>
      <c r="C126" s="2">
        <v>16</v>
      </c>
      <c r="D126" s="2">
        <v>4</v>
      </c>
      <c r="E126" s="2">
        <v>8</v>
      </c>
      <c r="F126" t="str">
        <f t="shared" si="8"/>
        <v>16,4,1.5,1,1;16,6,1.2,1,1;16,8,1.2,1,1;16,10,1.1,1,2;16,12,1.1,1,2;16+4,14,1,1,2;16+4,15+8,1,2,3;16+4,17+9,1,3,4;16+4,20+10,0.9,3,4;16+4,22+12,0.9,3,4;16+4,27+20,0.9,3,4;16+4,30+23,0.9,3,4;16+4+8,32+24+3,0.8,3,4;16+4+8,30+25+8,0.8,3,4;16+4+8,35+25+12,0.8,4,5;16+4+8,40+28+15,0.7,4,5;16+4+8,45+30+20,0.7,4,5;16+4+8,50+35+22,0.6,4,6;16+4+8,53+38+28,0.5,5,6;16+4+8,58+40+33,0.5,5,6;</v>
      </c>
      <c r="G126" t="s">
        <v>473</v>
      </c>
      <c r="H126" t="str">
        <f t="shared" si="6"/>
        <v>7,102,50,1;15,202,100,2</v>
      </c>
      <c r="I126">
        <v>102</v>
      </c>
      <c r="J126">
        <v>202</v>
      </c>
    </row>
    <row r="127" spans="1:10">
      <c r="A127">
        <v>124</v>
      </c>
      <c r="B127" t="str">
        <f t="shared" si="7"/>
        <v>17,9,10</v>
      </c>
      <c r="C127" s="2">
        <v>17</v>
      </c>
      <c r="D127" s="2">
        <v>9</v>
      </c>
      <c r="E127" s="2">
        <v>10</v>
      </c>
      <c r="F127" t="str">
        <f t="shared" si="8"/>
        <v>17,4,1.5,1,1;17,6,1.2,1,1;17,8,1.2,1,1;17,10,1.1,1,2;17,12,1.1,1,2;17+9,14,1,1,2;17+9,15+8,1,2,3;17+9,17+9,1,3,4;17+9,20+10,0.9,3,4;17+9,22+12,0.9,3,4;17+9,27+20,0.9,3,4;17+9,30+23,0.9,3,4;17+9+10,32+24+3,0.8,3,4;17+9+10,30+25+8,0.8,3,4;17+9+10,35+25+12,0.8,4,5;17+9+10,40+28+15,0.7,4,5;17+9+10,45+30+20,0.7,4,5;17+9+10,50+35+22,0.6,4,6;17+9+10,53+38+28,0.5,5,6;17+9+10,58+40+33,0.5,5,6;</v>
      </c>
      <c r="G127" t="s">
        <v>473</v>
      </c>
      <c r="H127" t="str">
        <f t="shared" si="6"/>
        <v>7,101,50,1;15,203,100,2</v>
      </c>
      <c r="I127">
        <v>101</v>
      </c>
      <c r="J127">
        <v>203</v>
      </c>
    </row>
    <row r="128" spans="1:10">
      <c r="A128">
        <v>125</v>
      </c>
      <c r="B128" t="str">
        <f t="shared" si="7"/>
        <v>18,12,11</v>
      </c>
      <c r="C128" s="2">
        <v>18</v>
      </c>
      <c r="D128" s="2">
        <v>12</v>
      </c>
      <c r="E128" s="2">
        <v>11</v>
      </c>
      <c r="F128" t="str">
        <f t="shared" si="8"/>
        <v>18,4,1.5,1,1;18,6,1.2,1,1;18,8,1.2,1,1;18,10,1.1,1,2;18,12,1.1,1,2;18+12,14,1,1,2;18+12,15+8,1,2,3;18+12,17+9,1,3,4;18+12,20+10,0.9,3,4;18+12,22+12,0.9,3,4;18+12,27+20,0.9,3,4;18+12,30+23,0.9,3,4;18+12+11,32+24+3,0.8,3,4;18+12+11,30+25+8,0.8,3,4;18+12+11,35+25+12,0.8,4,5;18+12+11,40+28+15,0.7,4,5;18+12+11,45+30+20,0.7,4,5;18+12+11,50+35+22,0.6,4,6;18+12+11,53+38+28,0.5,5,6;18+12+11,58+40+33,0.5,5,6;</v>
      </c>
      <c r="G128" t="s">
        <v>473</v>
      </c>
      <c r="H128" t="str">
        <f t="shared" si="6"/>
        <v>7,102,50,1;15,201,100,2</v>
      </c>
      <c r="I128">
        <v>102</v>
      </c>
      <c r="J128">
        <v>201</v>
      </c>
    </row>
    <row r="129" spans="1:10">
      <c r="A129">
        <v>126</v>
      </c>
      <c r="B129" t="str">
        <f t="shared" si="7"/>
        <v>19,9,23</v>
      </c>
      <c r="C129" s="2">
        <v>19</v>
      </c>
      <c r="D129" s="2">
        <v>9</v>
      </c>
      <c r="E129" s="2">
        <v>23</v>
      </c>
      <c r="F129" t="str">
        <f t="shared" si="8"/>
        <v>19,4,1.5,1,1;19,6,1.2,1,1;19,8,1.2,1,1;19,10,1.1,1,2;19,12,1.1,1,2;19+9,14,1,1,2;19+9,15+8,1,2,3;19+9,17+9,1,3,4;19+9,20+10,0.9,3,4;19+9,22+12,0.9,3,4;19+9,27+20,0.9,3,4;19+9,30+23,0.9,3,4;19+9+23,32+24+3,0.8,3,4;19+9+23,30+25+8,0.8,3,4;19+9+23,35+25+12,0.8,4,5;19+9+23,40+28+15,0.7,4,5;19+9+23,45+30+20,0.7,4,5;19+9+23,50+35+22,0.6,4,6;19+9+23,53+38+28,0.5,5,6;19+9+23,58+40+33,0.5,5,6;</v>
      </c>
      <c r="G129" t="s">
        <v>473</v>
      </c>
      <c r="H129" t="str">
        <f t="shared" si="6"/>
        <v>7,101,50,1;15,202,100,2</v>
      </c>
      <c r="I129">
        <v>101</v>
      </c>
      <c r="J129">
        <v>202</v>
      </c>
    </row>
    <row r="130" spans="1:10">
      <c r="A130">
        <v>127</v>
      </c>
      <c r="B130" t="str">
        <f t="shared" si="7"/>
        <v>1,20,26</v>
      </c>
      <c r="C130" s="2">
        <v>1</v>
      </c>
      <c r="D130" s="2">
        <v>20</v>
      </c>
      <c r="E130" s="2">
        <v>26</v>
      </c>
      <c r="F130" t="str">
        <f t="shared" si="8"/>
        <v>1,4,1.5,1,1;1,6,1.2,1,1;1,8,1.2,1,1;1,10,1.1,1,2;1,12,1.1,1,2;1+20,14,1,1,2;1+20,15+8,1,2,3;1+20,17+9,1,3,4;1+20,20+10,0.9,3,4;1+20,22+12,0.9,3,4;1+20,27+20,0.9,3,4;1+20,30+23,0.9,3,4;1+20+26,32+24+3,0.8,3,4;1+20+26,30+25+8,0.8,3,4;1+20+26,35+25+12,0.8,4,5;1+20+26,40+28+15,0.7,4,5;1+20+26,45+30+20,0.7,4,5;1+20+26,50+35+22,0.6,4,6;1+20+26,53+38+28,0.5,5,6;1+20+26,58+40+33,0.5,5,6;</v>
      </c>
      <c r="G130" t="s">
        <v>473</v>
      </c>
      <c r="H130" t="str">
        <f t="shared" si="6"/>
        <v>7,102,50,1;15,203,100,2</v>
      </c>
      <c r="I130">
        <v>102</v>
      </c>
      <c r="J130">
        <v>203</v>
      </c>
    </row>
    <row r="131" spans="1:10">
      <c r="A131">
        <v>128</v>
      </c>
      <c r="B131" t="str">
        <f t="shared" si="7"/>
        <v>5,21,28</v>
      </c>
      <c r="C131" s="2">
        <v>5</v>
      </c>
      <c r="D131" s="2">
        <v>21</v>
      </c>
      <c r="E131" s="2">
        <v>28</v>
      </c>
      <c r="F131" t="str">
        <f t="shared" si="8"/>
        <v>5,4,1.5,1,1;5,6,1.2,1,1;5,8,1.2,1,1;5,10,1.1,1,2;5,12,1.1,1,2;5+21,14,1,1,2;5+21,15+8,1,2,3;5+21,17+9,1,3,4;5+21,20+10,0.9,3,4;5+21,22+12,0.9,3,4;5+21,27+20,0.9,3,4;5+21,30+23,0.9,3,4;5+21+28,32+24+3,0.8,3,4;5+21+28,30+25+8,0.8,3,4;5+21+28,35+25+12,0.8,4,5;5+21+28,40+28+15,0.7,4,5;5+21+28,45+30+20,0.7,4,5;5+21+28,50+35+22,0.6,4,6;5+21+28,53+38+28,0.5,5,6;5+21+28,58+40+33,0.5,5,6;</v>
      </c>
      <c r="G131" t="s">
        <v>473</v>
      </c>
      <c r="H131" t="str">
        <f t="shared" si="6"/>
        <v>7,101,50,1;15,201,100,2</v>
      </c>
      <c r="I131">
        <v>101</v>
      </c>
      <c r="J131">
        <v>201</v>
      </c>
    </row>
    <row r="132" spans="1:10">
      <c r="A132">
        <v>129</v>
      </c>
      <c r="B132" t="str">
        <f t="shared" si="7"/>
        <v>7,22,3</v>
      </c>
      <c r="C132" s="2">
        <v>7</v>
      </c>
      <c r="D132" s="2">
        <v>22</v>
      </c>
      <c r="E132" s="2">
        <v>3</v>
      </c>
      <c r="F132" t="str">
        <f t="shared" si="8"/>
        <v>7,4,1.5,1,1;7,6,1.2,1,1;7,8,1.2,1,1;7,10,1.1,1,2;7,12,1.1,1,2;7+22,14,1,1,2;7+22,15+8,1,2,3;7+22,17+9,1,3,4;7+22,20+10,0.9,3,4;7+22,22+12,0.9,3,4;7+22,27+20,0.9,3,4;7+22,30+23,0.9,3,4;7+22+3,32+24+3,0.8,3,4;7+22+3,30+25+8,0.8,3,4;7+22+3,35+25+12,0.8,4,5;7+22+3,40+28+15,0.7,4,5;7+22+3,45+30+20,0.7,4,5;7+22+3,50+35+22,0.6,4,6;7+22+3,53+38+28,0.5,5,6;7+22+3,58+40+33,0.5,5,6;</v>
      </c>
      <c r="G132" t="s">
        <v>473</v>
      </c>
      <c r="H132" t="str">
        <f t="shared" si="6"/>
        <v>7,102,50,1;15,202,100,2</v>
      </c>
      <c r="I132">
        <v>102</v>
      </c>
      <c r="J132">
        <v>202</v>
      </c>
    </row>
    <row r="133" spans="1:10">
      <c r="A133">
        <v>130</v>
      </c>
      <c r="B133" t="str">
        <f t="shared" si="7"/>
        <v>13,24,6</v>
      </c>
      <c r="C133" s="2">
        <v>13</v>
      </c>
      <c r="D133" s="2">
        <v>24</v>
      </c>
      <c r="E133" s="2">
        <v>6</v>
      </c>
      <c r="F133" t="str">
        <f t="shared" si="8"/>
        <v>13,4,1.5,1,1;13,6,1.2,1,1;13,8,1.2,1,1;13,10,1.1,1,2;13,12,1.1,1,2;13+24,14,1,1,2;13+24,15+8,1,2,3;13+24,17+9,1,3,4;13+24,20+10,0.9,3,4;13+24,22+12,0.9,3,4;13+24,27+20,0.9,3,4;13+24,30+23,0.9,3,4;13+24+6,32+24+3,0.8,3,4;13+24+6,30+25+8,0.8,3,4;13+24+6,35+25+12,0.8,4,5;13+24+6,40+28+15,0.7,4,5;13+24+6,45+30+20,0.7,4,5;13+24+6,50+35+22,0.6,4,6;13+24+6,53+38+28,0.5,5,6;13+24+6,58+40+33,0.5,5,6;</v>
      </c>
      <c r="G133" t="s">
        <v>473</v>
      </c>
      <c r="H133" t="str">
        <f t="shared" ref="H133:H196" si="9">"7,"&amp;I133&amp;",50,1;15,"&amp;J133&amp;",100,2"</f>
        <v>7,101,50,1;15,203,100,2</v>
      </c>
      <c r="I133">
        <v>101</v>
      </c>
      <c r="J133">
        <v>203</v>
      </c>
    </row>
    <row r="134" spans="1:10">
      <c r="A134">
        <v>131</v>
      </c>
      <c r="B134" t="str">
        <f t="shared" si="7"/>
        <v>14,25,8</v>
      </c>
      <c r="C134" s="2">
        <v>14</v>
      </c>
      <c r="D134" s="2">
        <v>25</v>
      </c>
      <c r="E134" s="2">
        <v>8</v>
      </c>
      <c r="F134" t="str">
        <f t="shared" si="8"/>
        <v>14,4,1.5,1,1;14,6,1.2,1,1;14,8,1.2,1,1;14,10,1.1,1,2;14,12,1.1,1,2;14+25,14,1,1,2;14+25,15+8,1,2,3;14+25,17+9,1,3,4;14+25,20+10,0.9,3,4;14+25,22+12,0.9,3,4;14+25,27+20,0.9,3,4;14+25,30+23,0.9,3,4;14+25+8,32+24+3,0.8,3,4;14+25+8,30+25+8,0.8,3,4;14+25+8,35+25+12,0.8,4,5;14+25+8,40+28+15,0.7,4,5;14+25+8,45+30+20,0.7,4,5;14+25+8,50+35+22,0.6,4,6;14+25+8,53+38+28,0.5,5,6;14+25+8,58+40+33,0.5,5,6;</v>
      </c>
      <c r="G134" t="s">
        <v>473</v>
      </c>
      <c r="H134" t="str">
        <f t="shared" si="9"/>
        <v>7,102,50,1;15,201,100,2</v>
      </c>
      <c r="I134">
        <v>102</v>
      </c>
      <c r="J134">
        <v>201</v>
      </c>
    </row>
    <row r="135" spans="1:10">
      <c r="A135">
        <v>132</v>
      </c>
      <c r="B135" t="str">
        <f t="shared" si="7"/>
        <v>16,25,10</v>
      </c>
      <c r="C135" s="2">
        <v>16</v>
      </c>
      <c r="D135" s="2">
        <v>25</v>
      </c>
      <c r="E135" s="2">
        <v>10</v>
      </c>
      <c r="F135" t="str">
        <f t="shared" si="8"/>
        <v>16,4,1.5,1,1;16,6,1.2,1,1;16,8,1.2,1,1;16,10,1.1,1,2;16,12,1.1,1,2;16+25,14,1,1,2;16+25,15+8,1,2,3;16+25,17+9,1,3,4;16+25,20+10,0.9,3,4;16+25,22+12,0.9,3,4;16+25,27+20,0.9,3,4;16+25,30+23,0.9,3,4;16+25+10,32+24+3,0.8,3,4;16+25+10,30+25+8,0.8,3,4;16+25+10,35+25+12,0.8,4,5;16+25+10,40+28+15,0.7,4,5;16+25+10,45+30+20,0.7,4,5;16+25+10,50+35+22,0.6,4,6;16+25+10,53+38+28,0.5,5,6;16+25+10,58+40+33,0.5,5,6;</v>
      </c>
      <c r="G135" t="s">
        <v>473</v>
      </c>
      <c r="H135" t="str">
        <f t="shared" si="9"/>
        <v>7,101,50,1;15,202,100,2</v>
      </c>
      <c r="I135">
        <v>101</v>
      </c>
      <c r="J135">
        <v>202</v>
      </c>
    </row>
    <row r="136" spans="1:10">
      <c r="A136">
        <v>133</v>
      </c>
      <c r="B136" t="str">
        <f t="shared" si="7"/>
        <v>17,2,11</v>
      </c>
      <c r="C136" s="2">
        <v>17</v>
      </c>
      <c r="D136" s="2">
        <v>2</v>
      </c>
      <c r="E136" s="2">
        <v>11</v>
      </c>
      <c r="F136" t="str">
        <f t="shared" si="8"/>
        <v>17,4,1.5,1,1;17,6,1.2,1,1;17,8,1.2,1,1;17,10,1.1,1,2;17,12,1.1,1,2;17+2,14,1,1,2;17+2,15+8,1,2,3;17+2,17+9,1,3,4;17+2,20+10,0.9,3,4;17+2,22+12,0.9,3,4;17+2,27+20,0.9,3,4;17+2,30+23,0.9,3,4;17+2+11,32+24+3,0.8,3,4;17+2+11,30+25+8,0.8,3,4;17+2+11,35+25+12,0.8,4,5;17+2+11,40+28+15,0.7,4,5;17+2+11,45+30+20,0.7,4,5;17+2+11,50+35+22,0.6,4,6;17+2+11,53+38+28,0.5,5,6;17+2+11,58+40+33,0.5,5,6;</v>
      </c>
      <c r="G136" t="s">
        <v>473</v>
      </c>
      <c r="H136" t="str">
        <f t="shared" si="9"/>
        <v>7,102,50,1;15,203,100,2</v>
      </c>
      <c r="I136">
        <v>102</v>
      </c>
      <c r="J136">
        <v>203</v>
      </c>
    </row>
    <row r="137" spans="1:10">
      <c r="A137">
        <v>134</v>
      </c>
      <c r="B137" t="str">
        <f t="shared" si="7"/>
        <v>18,5,23</v>
      </c>
      <c r="C137" s="2">
        <v>18</v>
      </c>
      <c r="D137" s="2">
        <v>5</v>
      </c>
      <c r="E137" s="2">
        <v>23</v>
      </c>
      <c r="F137" t="str">
        <f t="shared" si="8"/>
        <v>18,4,1.5,1,1;18,6,1.2,1,1;18,8,1.2,1,1;18,10,1.1,1,2;18,12,1.1,1,2;18+5,14,1,1,2;18+5,15+8,1,2,3;18+5,17+9,1,3,4;18+5,20+10,0.9,3,4;18+5,22+12,0.9,3,4;18+5,27+20,0.9,3,4;18+5,30+23,0.9,3,4;18+5+23,32+24+3,0.8,3,4;18+5+23,30+25+8,0.8,3,4;18+5+23,35+25+12,0.8,4,5;18+5+23,40+28+15,0.7,4,5;18+5+23,45+30+20,0.7,4,5;18+5+23,50+35+22,0.6,4,6;18+5+23,53+38+28,0.5,5,6;18+5+23,58+40+33,0.5,5,6;</v>
      </c>
      <c r="G137" t="s">
        <v>473</v>
      </c>
      <c r="H137" t="str">
        <f t="shared" si="9"/>
        <v>7,101,50,1;15,201,100,2</v>
      </c>
      <c r="I137">
        <v>101</v>
      </c>
      <c r="J137">
        <v>201</v>
      </c>
    </row>
    <row r="138" spans="1:10">
      <c r="A138">
        <v>135</v>
      </c>
      <c r="B138" t="str">
        <f t="shared" si="7"/>
        <v>19,9,26</v>
      </c>
      <c r="C138" s="2">
        <v>19</v>
      </c>
      <c r="D138" s="2">
        <v>9</v>
      </c>
      <c r="E138" s="2">
        <v>26</v>
      </c>
      <c r="F138" t="str">
        <f t="shared" si="8"/>
        <v>19,4,1.5,1,1;19,6,1.2,1,1;19,8,1.2,1,1;19,10,1.1,1,2;19,12,1.1,1,2;19+9,14,1,1,2;19+9,15+8,1,2,3;19+9,17+9,1,3,4;19+9,20+10,0.9,3,4;19+9,22+12,0.9,3,4;19+9,27+20,0.9,3,4;19+9,30+23,0.9,3,4;19+9+26,32+24+3,0.8,3,4;19+9+26,30+25+8,0.8,3,4;19+9+26,35+25+12,0.8,4,5;19+9+26,40+28+15,0.7,4,5;19+9+26,45+30+20,0.7,4,5;19+9+26,50+35+22,0.6,4,6;19+9+26,53+38+28,0.5,5,6;19+9+26,58+40+33,0.5,5,6;</v>
      </c>
      <c r="G138" t="s">
        <v>473</v>
      </c>
      <c r="H138" t="str">
        <f t="shared" si="9"/>
        <v>7,102,50,1;15,202,100,2</v>
      </c>
      <c r="I138">
        <v>102</v>
      </c>
      <c r="J138">
        <v>202</v>
      </c>
    </row>
    <row r="139" spans="1:10">
      <c r="A139">
        <v>136</v>
      </c>
      <c r="B139" t="str">
        <f t="shared" si="7"/>
        <v>1,12,28</v>
      </c>
      <c r="C139" s="2">
        <v>1</v>
      </c>
      <c r="D139" s="2">
        <v>12</v>
      </c>
      <c r="E139" s="2">
        <v>28</v>
      </c>
      <c r="F139" t="str">
        <f t="shared" si="8"/>
        <v>1,4,1.5,1,1;1,6,1.2,1,1;1,8,1.2,1,1;1,10,1.1,1,2;1,12,1.1,1,2;1+12,14,1,1,2;1+12,15+8,1,2,3;1+12,17+9,1,3,4;1+12,20+10,0.9,3,4;1+12,22+12,0.9,3,4;1+12,27+20,0.9,3,4;1+12,30+23,0.9,3,4;1+12+28,32+24+3,0.8,3,4;1+12+28,30+25+8,0.8,3,4;1+12+28,35+25+12,0.8,4,5;1+12+28,40+28+15,0.7,4,5;1+12+28,45+30+20,0.7,4,5;1+12+28,50+35+22,0.6,4,6;1+12+28,53+38+28,0.5,5,6;1+12+28,58+40+33,0.5,5,6;</v>
      </c>
      <c r="G139" t="s">
        <v>473</v>
      </c>
      <c r="H139" t="str">
        <f t="shared" si="9"/>
        <v>7,101,50,1;15,203,100,2</v>
      </c>
      <c r="I139">
        <v>101</v>
      </c>
      <c r="J139">
        <v>203</v>
      </c>
    </row>
    <row r="140" spans="1:10">
      <c r="A140">
        <v>137</v>
      </c>
      <c r="B140" t="str">
        <f t="shared" si="7"/>
        <v>5,9,3</v>
      </c>
      <c r="C140" s="2">
        <v>5</v>
      </c>
      <c r="D140" s="2">
        <v>9</v>
      </c>
      <c r="E140" s="2">
        <v>3</v>
      </c>
      <c r="F140" t="str">
        <f t="shared" si="8"/>
        <v>5,4,1.5,1,1;5,6,1.2,1,1;5,8,1.2,1,1;5,10,1.1,1,2;5,12,1.1,1,2;5+9,14,1,1,2;5+9,15+8,1,2,3;5+9,17+9,1,3,4;5+9,20+10,0.9,3,4;5+9,22+12,0.9,3,4;5+9,27+20,0.9,3,4;5+9,30+23,0.9,3,4;5+9+3,32+24+3,0.8,3,4;5+9+3,30+25+8,0.8,3,4;5+9+3,35+25+12,0.8,4,5;5+9+3,40+28+15,0.7,4,5;5+9+3,45+30+20,0.7,4,5;5+9+3,50+35+22,0.6,4,6;5+9+3,53+38+28,0.5,5,6;5+9+3,58+40+33,0.5,5,6;</v>
      </c>
      <c r="G140" t="s">
        <v>473</v>
      </c>
      <c r="H140" t="str">
        <f t="shared" si="9"/>
        <v>7,102,50,1;15,201,100,2</v>
      </c>
      <c r="I140">
        <v>102</v>
      </c>
      <c r="J140">
        <v>201</v>
      </c>
    </row>
    <row r="141" spans="1:10">
      <c r="A141">
        <v>138</v>
      </c>
      <c r="B141" t="str">
        <f t="shared" si="7"/>
        <v>7,20,6</v>
      </c>
      <c r="C141" s="2">
        <v>7</v>
      </c>
      <c r="D141" s="2">
        <v>20</v>
      </c>
      <c r="E141" s="2">
        <v>6</v>
      </c>
      <c r="F141" t="str">
        <f t="shared" si="8"/>
        <v>7,4,1.5,1,1;7,6,1.2,1,1;7,8,1.2,1,1;7,10,1.1,1,2;7,12,1.1,1,2;7+20,14,1,1,2;7+20,15+8,1,2,3;7+20,17+9,1,3,4;7+20,20+10,0.9,3,4;7+20,22+12,0.9,3,4;7+20,27+20,0.9,3,4;7+20,30+23,0.9,3,4;7+20+6,32+24+3,0.8,3,4;7+20+6,30+25+8,0.8,3,4;7+20+6,35+25+12,0.8,4,5;7+20+6,40+28+15,0.7,4,5;7+20+6,45+30+20,0.7,4,5;7+20+6,50+35+22,0.6,4,6;7+20+6,53+38+28,0.5,5,6;7+20+6,58+40+33,0.5,5,6;</v>
      </c>
      <c r="G141" t="s">
        <v>473</v>
      </c>
      <c r="H141" t="str">
        <f t="shared" si="9"/>
        <v>7,101,50,1;15,202,100,2</v>
      </c>
      <c r="I141">
        <v>101</v>
      </c>
      <c r="J141">
        <v>202</v>
      </c>
    </row>
    <row r="142" spans="1:10">
      <c r="A142">
        <v>139</v>
      </c>
      <c r="B142" t="str">
        <f t="shared" ref="B142:B205" si="10">_xlfn.TEXTJOIN(",",,C142:E142)</f>
        <v>13,21,8</v>
      </c>
      <c r="C142" s="2">
        <v>13</v>
      </c>
      <c r="D142" s="2">
        <v>21</v>
      </c>
      <c r="E142" s="2">
        <v>8</v>
      </c>
      <c r="F142" t="str">
        <f t="shared" si="8"/>
        <v>13,4,1.5,1,1;13,6,1.2,1,1;13,8,1.2,1,1;13,10,1.1,1,2;13,12,1.1,1,2;13+21,14,1,1,2;13+21,15+8,1,2,3;13+21,17+9,1,3,4;13+21,20+10,0.9,3,4;13+21,22+12,0.9,3,4;13+21,27+20,0.9,3,4;13+21,30+23,0.9,3,4;13+21+8,32+24+3,0.8,3,4;13+21+8,30+25+8,0.8,3,4;13+21+8,35+25+12,0.8,4,5;13+21+8,40+28+15,0.7,4,5;13+21+8,45+30+20,0.7,4,5;13+21+8,50+35+22,0.6,4,6;13+21+8,53+38+28,0.5,5,6;13+21+8,58+40+33,0.5,5,6;</v>
      </c>
      <c r="G142" t="s">
        <v>473</v>
      </c>
      <c r="H142" t="str">
        <f t="shared" si="9"/>
        <v>7,102,50,1;15,203,100,2</v>
      </c>
      <c r="I142">
        <v>102</v>
      </c>
      <c r="J142">
        <v>203</v>
      </c>
    </row>
    <row r="143" spans="1:10">
      <c r="A143">
        <v>140</v>
      </c>
      <c r="B143" t="str">
        <f t="shared" si="10"/>
        <v>13,22,10</v>
      </c>
      <c r="C143" s="2">
        <v>13</v>
      </c>
      <c r="D143" s="2">
        <v>22</v>
      </c>
      <c r="E143" s="2">
        <v>10</v>
      </c>
      <c r="F143" t="str">
        <f t="shared" si="8"/>
        <v>13,4,1.5,1,1;13,6,1.2,1,1;13,8,1.2,1,1;13,10,1.1,1,2;13,12,1.1,1,2;13+22,14,1,1,2;13+22,15+8,1,2,3;13+22,17+9,1,3,4;13+22,20+10,0.9,3,4;13+22,22+12,0.9,3,4;13+22,27+20,0.9,3,4;13+22,30+23,0.9,3,4;13+22+10,32+24+3,0.8,3,4;13+22+10,30+25+8,0.8,3,4;13+22+10,35+25+12,0.8,4,5;13+22+10,40+28+15,0.7,4,5;13+22+10,45+30+20,0.7,4,5;13+22+10,50+35+22,0.6,4,6;13+22+10,53+38+28,0.5,5,6;13+22+10,58+40+33,0.5,5,6;</v>
      </c>
      <c r="G143" t="s">
        <v>473</v>
      </c>
      <c r="H143" t="str">
        <f t="shared" si="9"/>
        <v>7,101,50,1;15,201,100,2</v>
      </c>
      <c r="I143">
        <v>101</v>
      </c>
      <c r="J143">
        <v>201</v>
      </c>
    </row>
    <row r="144" spans="1:10">
      <c r="A144">
        <v>141</v>
      </c>
      <c r="B144" t="str">
        <f t="shared" si="10"/>
        <v>16,24,11</v>
      </c>
      <c r="C144" s="2">
        <v>16</v>
      </c>
      <c r="D144" s="2">
        <v>24</v>
      </c>
      <c r="E144" s="2">
        <v>11</v>
      </c>
      <c r="F144" t="str">
        <f t="shared" si="8"/>
        <v>16,4,1.5,1,1;16,6,1.2,1,1;16,8,1.2,1,1;16,10,1.1,1,2;16,12,1.1,1,2;16+24,14,1,1,2;16+24,15+8,1,2,3;16+24,17+9,1,3,4;16+24,20+10,0.9,3,4;16+24,22+12,0.9,3,4;16+24,27+20,0.9,3,4;16+24,30+23,0.9,3,4;16+24+11,32+24+3,0.8,3,4;16+24+11,30+25+8,0.8,3,4;16+24+11,35+25+12,0.8,4,5;16+24+11,40+28+15,0.7,4,5;16+24+11,45+30+20,0.7,4,5;16+24+11,50+35+22,0.6,4,6;16+24+11,53+38+28,0.5,5,6;16+24+11,58+40+33,0.5,5,6;</v>
      </c>
      <c r="G144" t="s">
        <v>473</v>
      </c>
      <c r="H144" t="str">
        <f t="shared" si="9"/>
        <v>7,102,50,1;15,202,100,2</v>
      </c>
      <c r="I144">
        <v>102</v>
      </c>
      <c r="J144">
        <v>202</v>
      </c>
    </row>
    <row r="145" spans="1:10">
      <c r="A145">
        <v>142</v>
      </c>
      <c r="B145" t="str">
        <f t="shared" si="10"/>
        <v>17,25,23</v>
      </c>
      <c r="C145" s="2">
        <v>17</v>
      </c>
      <c r="D145" s="2">
        <v>25</v>
      </c>
      <c r="E145" s="2">
        <v>23</v>
      </c>
      <c r="F145" t="str">
        <f t="shared" si="8"/>
        <v>17,4,1.5,1,1;17,6,1.2,1,1;17,8,1.2,1,1;17,10,1.1,1,2;17,12,1.1,1,2;17+25,14,1,1,2;17+25,15+8,1,2,3;17+25,17+9,1,3,4;17+25,20+10,0.9,3,4;17+25,22+12,0.9,3,4;17+25,27+20,0.9,3,4;17+25,30+23,0.9,3,4;17+25+23,32+24+3,0.8,3,4;17+25+23,30+25+8,0.8,3,4;17+25+23,35+25+12,0.8,4,5;17+25+23,40+28+15,0.7,4,5;17+25+23,45+30+20,0.7,4,5;17+25+23,50+35+22,0.6,4,6;17+25+23,53+38+28,0.5,5,6;17+25+23,58+40+33,0.5,5,6;</v>
      </c>
      <c r="G145" t="s">
        <v>473</v>
      </c>
      <c r="H145" t="str">
        <f t="shared" si="9"/>
        <v>7,101,50,1;15,203,100,2</v>
      </c>
      <c r="I145">
        <v>101</v>
      </c>
      <c r="J145">
        <v>203</v>
      </c>
    </row>
    <row r="146" spans="1:10">
      <c r="A146">
        <v>143</v>
      </c>
      <c r="B146" t="str">
        <f t="shared" si="10"/>
        <v>18,27,26</v>
      </c>
      <c r="C146" s="2">
        <v>18</v>
      </c>
      <c r="D146" s="2">
        <v>27</v>
      </c>
      <c r="E146" s="2">
        <v>26</v>
      </c>
      <c r="F146" t="str">
        <f t="shared" si="8"/>
        <v>18,4,1.5,1,1;18,6,1.2,1,1;18,8,1.2,1,1;18,10,1.1,1,2;18,12,1.1,1,2;18+27,14,1,1,2;18+27,15+8,1,2,3;18+27,17+9,1,3,4;18+27,20+10,0.9,3,4;18+27,22+12,0.9,3,4;18+27,27+20,0.9,3,4;18+27,30+23,0.9,3,4;18+27+26,32+24+3,0.8,3,4;18+27+26,30+25+8,0.8,3,4;18+27+26,35+25+12,0.8,4,5;18+27+26,40+28+15,0.7,4,5;18+27+26,45+30+20,0.7,4,5;18+27+26,50+35+22,0.6,4,6;18+27+26,53+38+28,0.5,5,6;18+27+26,58+40+33,0.5,5,6;</v>
      </c>
      <c r="G146" t="s">
        <v>473</v>
      </c>
      <c r="H146" t="str">
        <f t="shared" si="9"/>
        <v>7,102,50,1;15,201,100,2</v>
      </c>
      <c r="I146">
        <v>102</v>
      </c>
      <c r="J146">
        <v>201</v>
      </c>
    </row>
    <row r="147" spans="1:10">
      <c r="A147">
        <v>144</v>
      </c>
      <c r="B147" t="str">
        <f t="shared" si="10"/>
        <v>19,2,28</v>
      </c>
      <c r="C147" s="2">
        <v>19</v>
      </c>
      <c r="D147" s="2">
        <v>2</v>
      </c>
      <c r="E147" s="2">
        <v>28</v>
      </c>
      <c r="F147" t="str">
        <f t="shared" si="8"/>
        <v>19,4,1.5,1,1;19,6,1.2,1,1;19,8,1.2,1,1;19,10,1.1,1,2;19,12,1.1,1,2;19+2,14,1,1,2;19+2,15+8,1,2,3;19+2,17+9,1,3,4;19+2,20+10,0.9,3,4;19+2,22+12,0.9,3,4;19+2,27+20,0.9,3,4;19+2,30+23,0.9,3,4;19+2+28,32+24+3,0.8,3,4;19+2+28,30+25+8,0.8,3,4;19+2+28,35+25+12,0.8,4,5;19+2+28,40+28+15,0.7,4,5;19+2+28,45+30+20,0.7,4,5;19+2+28,50+35+22,0.6,4,6;19+2+28,53+38+28,0.5,5,6;19+2+28,58+40+33,0.5,5,6;</v>
      </c>
      <c r="G147" t="s">
        <v>473</v>
      </c>
      <c r="H147" t="str">
        <f t="shared" si="9"/>
        <v>7,101,50,1;15,202,100,2</v>
      </c>
      <c r="I147">
        <v>101</v>
      </c>
      <c r="J147">
        <v>202</v>
      </c>
    </row>
    <row r="148" spans="1:10">
      <c r="A148">
        <v>145</v>
      </c>
      <c r="B148" t="str">
        <f t="shared" si="10"/>
        <v>1,5,3</v>
      </c>
      <c r="C148" s="2">
        <v>1</v>
      </c>
      <c r="D148" s="2">
        <v>5</v>
      </c>
      <c r="E148" s="2">
        <v>3</v>
      </c>
      <c r="F148" t="str">
        <f t="shared" ref="F148:F211" si="11">SUBSTITUTE(SUBSTITUTE(SUBSTITUTE(G148,101,C148),102,D148),103,E148)</f>
        <v>1,4,1.5,1,1;1,6,1.2,1,1;1,8,1.2,1,1;1,10,1.1,1,2;1,12,1.1,1,2;1+5,14,1,1,2;1+5,15+8,1,2,3;1+5,17+9,1,3,4;1+5,20+10,0.9,3,4;1+5,22+12,0.9,3,4;1+5,27+20,0.9,3,4;1+5,30+23,0.9,3,4;1+5+3,32+24+3,0.8,3,4;1+5+3,30+25+8,0.8,3,4;1+5+3,35+25+12,0.8,4,5;1+5+3,40+28+15,0.7,4,5;1+5+3,45+30+20,0.7,4,5;1+5+3,50+35+22,0.6,4,6;1+5+3,53+38+28,0.5,5,6;1+5+3,58+40+33,0.5,5,6;</v>
      </c>
      <c r="G148" t="s">
        <v>473</v>
      </c>
      <c r="H148" t="str">
        <f t="shared" si="9"/>
        <v>7,102,50,1;15,203,100,2</v>
      </c>
      <c r="I148">
        <v>102</v>
      </c>
      <c r="J148">
        <v>203</v>
      </c>
    </row>
    <row r="149" spans="1:10">
      <c r="A149">
        <v>146</v>
      </c>
      <c r="B149" t="str">
        <f t="shared" si="10"/>
        <v>5,9,6</v>
      </c>
      <c r="C149" s="2">
        <v>5</v>
      </c>
      <c r="D149" s="2">
        <v>9</v>
      </c>
      <c r="E149" s="2">
        <v>6</v>
      </c>
      <c r="F149" t="str">
        <f t="shared" si="11"/>
        <v>5,4,1.5,1,1;5,6,1.2,1,1;5,8,1.2,1,1;5,10,1.1,1,2;5,12,1.1,1,2;5+9,14,1,1,2;5+9,15+8,1,2,3;5+9,17+9,1,3,4;5+9,20+10,0.9,3,4;5+9,22+12,0.9,3,4;5+9,27+20,0.9,3,4;5+9,30+23,0.9,3,4;5+9+6,32+24+3,0.8,3,4;5+9+6,30+25+8,0.8,3,4;5+9+6,35+25+12,0.8,4,5;5+9+6,40+28+15,0.7,4,5;5+9+6,45+30+20,0.7,4,5;5+9+6,50+35+22,0.6,4,6;5+9+6,53+38+28,0.5,5,6;5+9+6,58+40+33,0.5,5,6;</v>
      </c>
      <c r="G149" t="s">
        <v>473</v>
      </c>
      <c r="H149" t="str">
        <f t="shared" si="9"/>
        <v>7,101,50,1;15,201,100,2</v>
      </c>
      <c r="I149">
        <v>101</v>
      </c>
      <c r="J149">
        <v>201</v>
      </c>
    </row>
    <row r="150" spans="1:10">
      <c r="A150">
        <v>147</v>
      </c>
      <c r="B150" t="str">
        <f t="shared" si="10"/>
        <v>7,12,8</v>
      </c>
      <c r="C150" s="2">
        <v>7</v>
      </c>
      <c r="D150" s="2">
        <v>12</v>
      </c>
      <c r="E150" s="2">
        <v>8</v>
      </c>
      <c r="F150" t="str">
        <f t="shared" si="11"/>
        <v>7,4,1.5,1,1;7,6,1.2,1,1;7,8,1.2,1,1;7,10,1.1,1,2;7,12,1.1,1,2;7+12,14,1,1,2;7+12,15+8,1,2,3;7+12,17+9,1,3,4;7+12,20+10,0.9,3,4;7+12,22+12,0.9,3,4;7+12,27+20,0.9,3,4;7+12,30+23,0.9,3,4;7+12+8,32+24+3,0.8,3,4;7+12+8,30+25+8,0.8,3,4;7+12+8,35+25+12,0.8,4,5;7+12+8,40+28+15,0.7,4,5;7+12+8,45+30+20,0.7,4,5;7+12+8,50+35+22,0.6,4,6;7+12+8,53+38+28,0.5,5,6;7+12+8,58+40+33,0.5,5,6;</v>
      </c>
      <c r="G150" t="s">
        <v>473</v>
      </c>
      <c r="H150" t="str">
        <f t="shared" si="9"/>
        <v>7,102,50,1;15,202,100,2</v>
      </c>
      <c r="I150">
        <v>102</v>
      </c>
      <c r="J150">
        <v>202</v>
      </c>
    </row>
    <row r="151" spans="1:10">
      <c r="A151">
        <v>148</v>
      </c>
      <c r="B151" t="str">
        <f t="shared" si="10"/>
        <v>13,9,10</v>
      </c>
      <c r="C151" s="2">
        <v>13</v>
      </c>
      <c r="D151" s="2">
        <v>9</v>
      </c>
      <c r="E151" s="2">
        <v>10</v>
      </c>
      <c r="F151" t="str">
        <f t="shared" si="11"/>
        <v>13,4,1.5,1,1;13,6,1.2,1,1;13,8,1.2,1,1;13,10,1.1,1,2;13,12,1.1,1,2;13+9,14,1,1,2;13+9,15+8,1,2,3;13+9,17+9,1,3,4;13+9,20+10,0.9,3,4;13+9,22+12,0.9,3,4;13+9,27+20,0.9,3,4;13+9,30+23,0.9,3,4;13+9+10,32+24+3,0.8,3,4;13+9+10,30+25+8,0.8,3,4;13+9+10,35+25+12,0.8,4,5;13+9+10,40+28+15,0.7,4,5;13+9+10,45+30+20,0.7,4,5;13+9+10,50+35+22,0.6,4,6;13+9+10,53+38+28,0.5,5,6;13+9+10,58+40+33,0.5,5,6;</v>
      </c>
      <c r="G151" t="s">
        <v>473</v>
      </c>
      <c r="H151" t="str">
        <f t="shared" si="9"/>
        <v>7,101,50,1;15,203,100,2</v>
      </c>
      <c r="I151">
        <v>101</v>
      </c>
      <c r="J151">
        <v>203</v>
      </c>
    </row>
    <row r="152" spans="1:10">
      <c r="A152">
        <v>149</v>
      </c>
      <c r="B152" t="str">
        <f t="shared" si="10"/>
        <v>13,20,11</v>
      </c>
      <c r="C152" s="2">
        <v>13</v>
      </c>
      <c r="D152" s="2">
        <v>20</v>
      </c>
      <c r="E152" s="2">
        <v>11</v>
      </c>
      <c r="F152" t="str">
        <f t="shared" si="11"/>
        <v>13,4,1.5,1,1;13,6,1.2,1,1;13,8,1.2,1,1;13,10,1.1,1,2;13,12,1.1,1,2;13+20,14,1,1,2;13+20,15+8,1,2,3;13+20,17+9,1,3,4;13+20,20+10,0.9,3,4;13+20,22+12,0.9,3,4;13+20,27+20,0.9,3,4;13+20,30+23,0.9,3,4;13+20+11,32+24+3,0.8,3,4;13+20+11,30+25+8,0.8,3,4;13+20+11,35+25+12,0.8,4,5;13+20+11,40+28+15,0.7,4,5;13+20+11,45+30+20,0.7,4,5;13+20+11,50+35+22,0.6,4,6;13+20+11,53+38+28,0.5,5,6;13+20+11,58+40+33,0.5,5,6;</v>
      </c>
      <c r="G152" t="s">
        <v>473</v>
      </c>
      <c r="H152" t="str">
        <f t="shared" si="9"/>
        <v>7,102,50,1;15,201,100,2</v>
      </c>
      <c r="I152">
        <v>102</v>
      </c>
      <c r="J152">
        <v>201</v>
      </c>
    </row>
    <row r="153" spans="1:10">
      <c r="A153">
        <v>150</v>
      </c>
      <c r="B153" t="str">
        <f t="shared" si="10"/>
        <v>16,21,23</v>
      </c>
      <c r="C153" s="2">
        <v>16</v>
      </c>
      <c r="D153" s="2">
        <v>21</v>
      </c>
      <c r="E153" s="2">
        <v>23</v>
      </c>
      <c r="F153" t="str">
        <f t="shared" si="11"/>
        <v>16,4,1.5,1,1;16,6,1.2,1,1;16,8,1.2,1,1;16,10,1.1,1,2;16,12,1.1,1,2;16+21,14,1,1,2;16+21,15+8,1,2,3;16+21,17+9,1,3,4;16+21,20+10,0.9,3,4;16+21,22+12,0.9,3,4;16+21,27+20,0.9,3,4;16+21,30+23,0.9,3,4;16+21+23,32+24+3,0.8,3,4;16+21+23,30+25+8,0.8,3,4;16+21+23,35+25+12,0.8,4,5;16+21+23,40+28+15,0.7,4,5;16+21+23,45+30+20,0.7,4,5;16+21+23,50+35+22,0.6,4,6;16+21+23,53+38+28,0.5,5,6;16+21+23,58+40+33,0.5,5,6;</v>
      </c>
      <c r="G153" t="s">
        <v>473</v>
      </c>
      <c r="H153" t="str">
        <f t="shared" si="9"/>
        <v>7,101,50,1;15,202,100,2</v>
      </c>
      <c r="I153">
        <v>101</v>
      </c>
      <c r="J153">
        <v>202</v>
      </c>
    </row>
    <row r="154" spans="1:10">
      <c r="A154">
        <v>151</v>
      </c>
      <c r="B154" t="str">
        <f t="shared" si="10"/>
        <v>17,22,26</v>
      </c>
      <c r="C154" s="2">
        <v>17</v>
      </c>
      <c r="D154" s="2">
        <v>22</v>
      </c>
      <c r="E154" s="2">
        <v>26</v>
      </c>
      <c r="F154" t="str">
        <f t="shared" si="11"/>
        <v>17,4,1.5,1,1;17,6,1.2,1,1;17,8,1.2,1,1;17,10,1.1,1,2;17,12,1.1,1,2;17+22,14,1,1,2;17+22,15+8,1,2,3;17+22,17+9,1,3,4;17+22,20+10,0.9,3,4;17+22,22+12,0.9,3,4;17+22,27+20,0.9,3,4;17+22,30+23,0.9,3,4;17+22+26,32+24+3,0.8,3,4;17+22+26,30+25+8,0.8,3,4;17+22+26,35+25+12,0.8,4,5;17+22+26,40+28+15,0.7,4,5;17+22+26,45+30+20,0.7,4,5;17+22+26,50+35+22,0.6,4,6;17+22+26,53+38+28,0.5,5,6;17+22+26,58+40+33,0.5,5,6;</v>
      </c>
      <c r="G154" t="s">
        <v>473</v>
      </c>
      <c r="H154" t="str">
        <f t="shared" si="9"/>
        <v>7,102,50,1;15,203,100,2</v>
      </c>
      <c r="I154">
        <v>102</v>
      </c>
      <c r="J154">
        <v>203</v>
      </c>
    </row>
    <row r="155" spans="1:10">
      <c r="A155">
        <v>152</v>
      </c>
      <c r="B155" t="str">
        <f t="shared" si="10"/>
        <v>18,24,28</v>
      </c>
      <c r="C155" s="2">
        <v>18</v>
      </c>
      <c r="D155" s="2">
        <v>24</v>
      </c>
      <c r="E155" s="2">
        <v>28</v>
      </c>
      <c r="F155" t="str">
        <f t="shared" si="11"/>
        <v>18,4,1.5,1,1;18,6,1.2,1,1;18,8,1.2,1,1;18,10,1.1,1,2;18,12,1.1,1,2;18+24,14,1,1,2;18+24,15+8,1,2,3;18+24,17+9,1,3,4;18+24,20+10,0.9,3,4;18+24,22+12,0.9,3,4;18+24,27+20,0.9,3,4;18+24,30+23,0.9,3,4;18+24+28,32+24+3,0.8,3,4;18+24+28,30+25+8,0.8,3,4;18+24+28,35+25+12,0.8,4,5;18+24+28,40+28+15,0.7,4,5;18+24+28,45+30+20,0.7,4,5;18+24+28,50+35+22,0.6,4,6;18+24+28,53+38+28,0.5,5,6;18+24+28,58+40+33,0.5,5,6;</v>
      </c>
      <c r="G155" t="s">
        <v>473</v>
      </c>
      <c r="H155" t="str">
        <f t="shared" si="9"/>
        <v>7,101,50,1;15,201,100,2</v>
      </c>
      <c r="I155">
        <v>101</v>
      </c>
      <c r="J155">
        <v>201</v>
      </c>
    </row>
    <row r="156" spans="1:10">
      <c r="A156">
        <v>153</v>
      </c>
      <c r="B156" t="str">
        <f t="shared" si="10"/>
        <v>19,25,3</v>
      </c>
      <c r="C156" s="2">
        <v>19</v>
      </c>
      <c r="D156" s="2">
        <v>25</v>
      </c>
      <c r="E156" s="2">
        <v>3</v>
      </c>
      <c r="F156" t="str">
        <f t="shared" si="11"/>
        <v>19,4,1.5,1,1;19,6,1.2,1,1;19,8,1.2,1,1;19,10,1.1,1,2;19,12,1.1,1,2;19+25,14,1,1,2;19+25,15+8,1,2,3;19+25,17+9,1,3,4;19+25,20+10,0.9,3,4;19+25,22+12,0.9,3,4;19+25,27+20,0.9,3,4;19+25,30+23,0.9,3,4;19+25+3,32+24+3,0.8,3,4;19+25+3,30+25+8,0.8,3,4;19+25+3,35+25+12,0.8,4,5;19+25+3,40+28+15,0.7,4,5;19+25+3,45+30+20,0.7,4,5;19+25+3,50+35+22,0.6,4,6;19+25+3,53+38+28,0.5,5,6;19+25+3,58+40+33,0.5,5,6;</v>
      </c>
      <c r="G156" t="s">
        <v>473</v>
      </c>
      <c r="H156" t="str">
        <f t="shared" si="9"/>
        <v>7,102,50,1;15,202,100,2</v>
      </c>
      <c r="I156">
        <v>102</v>
      </c>
      <c r="J156">
        <v>202</v>
      </c>
    </row>
    <row r="157" spans="1:10">
      <c r="A157">
        <v>154</v>
      </c>
      <c r="B157" t="str">
        <f t="shared" si="10"/>
        <v>1,27,6</v>
      </c>
      <c r="C157" s="2">
        <v>1</v>
      </c>
      <c r="D157" s="2">
        <v>27</v>
      </c>
      <c r="E157" s="2">
        <v>6</v>
      </c>
      <c r="F157" t="str">
        <f t="shared" si="11"/>
        <v>1,4,1.5,1,1;1,6,1.2,1,1;1,8,1.2,1,1;1,10,1.1,1,2;1,12,1.1,1,2;1+27,14,1,1,2;1+27,15+8,1,2,3;1+27,17+9,1,3,4;1+27,20+10,0.9,3,4;1+27,22+12,0.9,3,4;1+27,27+20,0.9,3,4;1+27,30+23,0.9,3,4;1+27+6,32+24+3,0.8,3,4;1+27+6,30+25+8,0.8,3,4;1+27+6,35+25+12,0.8,4,5;1+27+6,40+28+15,0.7,4,5;1+27+6,45+30+20,0.7,4,5;1+27+6,50+35+22,0.6,4,6;1+27+6,53+38+28,0.5,5,6;1+27+6,58+40+33,0.5,5,6;</v>
      </c>
      <c r="G157" t="s">
        <v>473</v>
      </c>
      <c r="H157" t="str">
        <f t="shared" si="9"/>
        <v>7,101,50,1;15,203,100,2</v>
      </c>
      <c r="I157">
        <v>101</v>
      </c>
      <c r="J157">
        <v>203</v>
      </c>
    </row>
    <row r="158" spans="1:10">
      <c r="A158">
        <v>155</v>
      </c>
      <c r="B158" t="str">
        <f t="shared" si="10"/>
        <v>5,2,8</v>
      </c>
      <c r="C158" s="2">
        <v>5</v>
      </c>
      <c r="D158" s="2">
        <v>2</v>
      </c>
      <c r="E158" s="2">
        <v>8</v>
      </c>
      <c r="F158" t="str">
        <f t="shared" si="11"/>
        <v>5,4,1.5,1,1;5,6,1.2,1,1;5,8,1.2,1,1;5,10,1.1,1,2;5,12,1.1,1,2;5+2,14,1,1,2;5+2,15+8,1,2,3;5+2,17+9,1,3,4;5+2,20+10,0.9,3,4;5+2,22+12,0.9,3,4;5+2,27+20,0.9,3,4;5+2,30+23,0.9,3,4;5+2+8,32+24+3,0.8,3,4;5+2+8,30+25+8,0.8,3,4;5+2+8,35+25+12,0.8,4,5;5+2+8,40+28+15,0.7,4,5;5+2+8,45+30+20,0.7,4,5;5+2+8,50+35+22,0.6,4,6;5+2+8,53+38+28,0.5,5,6;5+2+8,58+40+33,0.5,5,6;</v>
      </c>
      <c r="G158" t="s">
        <v>473</v>
      </c>
      <c r="H158" t="str">
        <f t="shared" si="9"/>
        <v>7,102,50,1;15,201,100,2</v>
      </c>
      <c r="I158">
        <v>102</v>
      </c>
      <c r="J158">
        <v>201</v>
      </c>
    </row>
    <row r="159" spans="1:10">
      <c r="A159">
        <v>156</v>
      </c>
      <c r="B159" t="str">
        <f t="shared" si="10"/>
        <v>7,5,10</v>
      </c>
      <c r="C159" s="2">
        <v>7</v>
      </c>
      <c r="D159" s="2">
        <v>5</v>
      </c>
      <c r="E159" s="2">
        <v>10</v>
      </c>
      <c r="F159" t="str">
        <f t="shared" si="11"/>
        <v>7,4,1.5,1,1;7,6,1.2,1,1;7,8,1.2,1,1;7,10,1.1,1,2;7,12,1.1,1,2;7+5,14,1,1,2;7+5,15+8,1,2,3;7+5,17+9,1,3,4;7+5,20+10,0.9,3,4;7+5,22+12,0.9,3,4;7+5,27+20,0.9,3,4;7+5,30+23,0.9,3,4;7+5+10,32+24+3,0.8,3,4;7+5+10,30+25+8,0.8,3,4;7+5+10,35+25+12,0.8,4,5;7+5+10,40+28+15,0.7,4,5;7+5+10,45+30+20,0.7,4,5;7+5+10,50+35+22,0.6,4,6;7+5+10,53+38+28,0.5,5,6;7+5+10,58+40+33,0.5,5,6;</v>
      </c>
      <c r="G159" t="s">
        <v>473</v>
      </c>
      <c r="H159" t="str">
        <f t="shared" si="9"/>
        <v>7,101,50,1;15,202,100,2</v>
      </c>
      <c r="I159">
        <v>101</v>
      </c>
      <c r="J159">
        <v>202</v>
      </c>
    </row>
    <row r="160" spans="1:10">
      <c r="A160">
        <v>157</v>
      </c>
      <c r="B160" t="str">
        <f t="shared" si="10"/>
        <v>13,9,11</v>
      </c>
      <c r="C160" s="2">
        <v>13</v>
      </c>
      <c r="D160" s="2">
        <v>9</v>
      </c>
      <c r="E160" s="2">
        <v>11</v>
      </c>
      <c r="F160" t="str">
        <f t="shared" si="11"/>
        <v>13,4,1.5,1,1;13,6,1.2,1,1;13,8,1.2,1,1;13,10,1.1,1,2;13,12,1.1,1,2;13+9,14,1,1,2;13+9,15+8,1,2,3;13+9,17+9,1,3,4;13+9,20+10,0.9,3,4;13+9,22+12,0.9,3,4;13+9,27+20,0.9,3,4;13+9,30+23,0.9,3,4;13+9+11,32+24+3,0.8,3,4;13+9+11,30+25+8,0.8,3,4;13+9+11,35+25+12,0.8,4,5;13+9+11,40+28+15,0.7,4,5;13+9+11,45+30+20,0.7,4,5;13+9+11,50+35+22,0.6,4,6;13+9+11,53+38+28,0.5,5,6;13+9+11,58+40+33,0.5,5,6;</v>
      </c>
      <c r="G160" t="s">
        <v>473</v>
      </c>
      <c r="H160" t="str">
        <f t="shared" si="9"/>
        <v>7,102,50,1;15,203,100,2</v>
      </c>
      <c r="I160">
        <v>102</v>
      </c>
      <c r="J160">
        <v>203</v>
      </c>
    </row>
    <row r="161" spans="1:10">
      <c r="A161">
        <v>158</v>
      </c>
      <c r="B161" t="str">
        <f t="shared" si="10"/>
        <v>13,12,23</v>
      </c>
      <c r="C161" s="2">
        <v>13</v>
      </c>
      <c r="D161" s="2">
        <v>12</v>
      </c>
      <c r="E161" s="2">
        <v>23</v>
      </c>
      <c r="F161" t="str">
        <f t="shared" si="11"/>
        <v>13,4,1.5,1,1;13,6,1.2,1,1;13,8,1.2,1,1;13,10,1.1,1,2;13,12,1.1,1,2;13+12,14,1,1,2;13+12,15+8,1,2,3;13+12,17+9,1,3,4;13+12,20+10,0.9,3,4;13+12,22+12,0.9,3,4;13+12,27+20,0.9,3,4;13+12,30+23,0.9,3,4;13+12+23,32+24+3,0.8,3,4;13+12+23,30+25+8,0.8,3,4;13+12+23,35+25+12,0.8,4,5;13+12+23,40+28+15,0.7,4,5;13+12+23,45+30+20,0.7,4,5;13+12+23,50+35+22,0.6,4,6;13+12+23,53+38+28,0.5,5,6;13+12+23,58+40+33,0.5,5,6;</v>
      </c>
      <c r="G161" t="s">
        <v>473</v>
      </c>
      <c r="H161" t="str">
        <f t="shared" si="9"/>
        <v>7,101,50,1;15,201,100,2</v>
      </c>
      <c r="I161">
        <v>101</v>
      </c>
      <c r="J161">
        <v>201</v>
      </c>
    </row>
    <row r="162" spans="1:10">
      <c r="A162">
        <v>159</v>
      </c>
      <c r="B162" t="str">
        <f t="shared" si="10"/>
        <v>16,15,26</v>
      </c>
      <c r="C162" s="2">
        <v>16</v>
      </c>
      <c r="D162" s="2">
        <v>15</v>
      </c>
      <c r="E162" s="2">
        <v>26</v>
      </c>
      <c r="F162" t="str">
        <f t="shared" si="11"/>
        <v>16,4,1.5,1,1;16,6,1.2,1,1;16,8,1.2,1,1;16,10,1.1,1,2;16,12,1.1,1,2;16+15,14,1,1,2;16+15,15+8,1,2,3;16+15,17+9,1,3,4;16+15,20+10,0.9,3,4;16+15,22+12,0.9,3,4;16+15,27+20,0.9,3,4;16+15,30+23,0.9,3,4;16+15+26,32+24+3,0.8,3,4;16+15+26,30+25+8,0.8,3,4;16+15+26,35+25+12,0.8,4,5;16+15+26,40+28+15,0.7,4,5;16+15+26,45+30+20,0.7,4,5;16+15+26,50+35+22,0.6,4,6;16+15+26,53+38+28,0.5,5,6;16+15+26,58+40+33,0.5,5,6;</v>
      </c>
      <c r="G162" t="s">
        <v>473</v>
      </c>
      <c r="H162" t="str">
        <f t="shared" si="9"/>
        <v>7,102,50,1;15,202,100,2</v>
      </c>
      <c r="I162">
        <v>102</v>
      </c>
      <c r="J162">
        <v>202</v>
      </c>
    </row>
    <row r="163" spans="1:10">
      <c r="A163">
        <v>160</v>
      </c>
      <c r="B163" t="str">
        <f t="shared" si="10"/>
        <v>17,20,28</v>
      </c>
      <c r="C163" s="2">
        <v>17</v>
      </c>
      <c r="D163" s="2">
        <v>20</v>
      </c>
      <c r="E163" s="2">
        <v>28</v>
      </c>
      <c r="F163" t="str">
        <f t="shared" si="11"/>
        <v>17,4,1.5,1,1;17,6,1.2,1,1;17,8,1.2,1,1;17,10,1.1,1,2;17,12,1.1,1,2;17+20,14,1,1,2;17+20,15+8,1,2,3;17+20,17+9,1,3,4;17+20,20+10,0.9,3,4;17+20,22+12,0.9,3,4;17+20,27+20,0.9,3,4;17+20,30+23,0.9,3,4;17+20+28,32+24+3,0.8,3,4;17+20+28,30+25+8,0.8,3,4;17+20+28,35+25+12,0.8,4,5;17+20+28,40+28+15,0.7,4,5;17+20+28,45+30+20,0.7,4,5;17+20+28,50+35+22,0.6,4,6;17+20+28,53+38+28,0.5,5,6;17+20+28,58+40+33,0.5,5,6;</v>
      </c>
      <c r="G163" t="s">
        <v>473</v>
      </c>
      <c r="H163" t="str">
        <f t="shared" si="9"/>
        <v>7,101,50,1;15,203,100,2</v>
      </c>
      <c r="I163">
        <v>101</v>
      </c>
      <c r="J163">
        <v>203</v>
      </c>
    </row>
    <row r="164" spans="1:10">
      <c r="A164">
        <v>161</v>
      </c>
      <c r="B164" t="str">
        <f t="shared" si="10"/>
        <v>18,21,3</v>
      </c>
      <c r="C164" s="2">
        <v>18</v>
      </c>
      <c r="D164" s="2">
        <v>21</v>
      </c>
      <c r="E164" s="2">
        <v>3</v>
      </c>
      <c r="F164" t="str">
        <f t="shared" si="11"/>
        <v>18,4,1.5,1,1;18,6,1.2,1,1;18,8,1.2,1,1;18,10,1.1,1,2;18,12,1.1,1,2;18+21,14,1,1,2;18+21,15+8,1,2,3;18+21,17+9,1,3,4;18+21,20+10,0.9,3,4;18+21,22+12,0.9,3,4;18+21,27+20,0.9,3,4;18+21,30+23,0.9,3,4;18+21+3,32+24+3,0.8,3,4;18+21+3,30+25+8,0.8,3,4;18+21+3,35+25+12,0.8,4,5;18+21+3,40+28+15,0.7,4,5;18+21+3,45+30+20,0.7,4,5;18+21+3,50+35+22,0.6,4,6;18+21+3,53+38+28,0.5,5,6;18+21+3,58+40+33,0.5,5,6;</v>
      </c>
      <c r="G164" t="s">
        <v>473</v>
      </c>
      <c r="H164" t="str">
        <f t="shared" si="9"/>
        <v>7,102,50,1;15,201,100,2</v>
      </c>
      <c r="I164">
        <v>102</v>
      </c>
      <c r="J164">
        <v>201</v>
      </c>
    </row>
    <row r="165" spans="1:10">
      <c r="A165">
        <v>162</v>
      </c>
      <c r="B165" t="str">
        <f t="shared" si="10"/>
        <v>19,22,6</v>
      </c>
      <c r="C165" s="2">
        <v>19</v>
      </c>
      <c r="D165" s="2">
        <v>22</v>
      </c>
      <c r="E165" s="2">
        <v>6</v>
      </c>
      <c r="F165" t="str">
        <f t="shared" si="11"/>
        <v>19,4,1.5,1,1;19,6,1.2,1,1;19,8,1.2,1,1;19,10,1.1,1,2;19,12,1.1,1,2;19+22,14,1,1,2;19+22,15+8,1,2,3;19+22,17+9,1,3,4;19+22,20+10,0.9,3,4;19+22,22+12,0.9,3,4;19+22,27+20,0.9,3,4;19+22,30+23,0.9,3,4;19+22+6,32+24+3,0.8,3,4;19+22+6,30+25+8,0.8,3,4;19+22+6,35+25+12,0.8,4,5;19+22+6,40+28+15,0.7,4,5;19+22+6,45+30+20,0.7,4,5;19+22+6,50+35+22,0.6,4,6;19+22+6,53+38+28,0.5,5,6;19+22+6,58+40+33,0.5,5,6;</v>
      </c>
      <c r="G165" t="s">
        <v>473</v>
      </c>
      <c r="H165" t="str">
        <f t="shared" si="9"/>
        <v>7,101,50,1;15,202,100,2</v>
      </c>
      <c r="I165">
        <v>101</v>
      </c>
      <c r="J165">
        <v>202</v>
      </c>
    </row>
    <row r="166" spans="1:10">
      <c r="A166">
        <v>163</v>
      </c>
      <c r="B166" t="str">
        <f t="shared" si="10"/>
        <v>1,24,8</v>
      </c>
      <c r="C166" s="2">
        <v>1</v>
      </c>
      <c r="D166" s="2">
        <v>24</v>
      </c>
      <c r="E166" s="2">
        <v>8</v>
      </c>
      <c r="F166" t="str">
        <f t="shared" si="11"/>
        <v>1,4,1.5,1,1;1,6,1.2,1,1;1,8,1.2,1,1;1,10,1.1,1,2;1,12,1.1,1,2;1+24,14,1,1,2;1+24,15+8,1,2,3;1+24,17+9,1,3,4;1+24,20+10,0.9,3,4;1+24,22+12,0.9,3,4;1+24,27+20,0.9,3,4;1+24,30+23,0.9,3,4;1+24+8,32+24+3,0.8,3,4;1+24+8,30+25+8,0.8,3,4;1+24+8,35+25+12,0.8,4,5;1+24+8,40+28+15,0.7,4,5;1+24+8,45+30+20,0.7,4,5;1+24+8,50+35+22,0.6,4,6;1+24+8,53+38+28,0.5,5,6;1+24+8,58+40+33,0.5,5,6;</v>
      </c>
      <c r="G166" t="s">
        <v>473</v>
      </c>
      <c r="H166" t="str">
        <f t="shared" si="9"/>
        <v>7,102,50,1;15,203,100,2</v>
      </c>
      <c r="I166">
        <v>102</v>
      </c>
      <c r="J166">
        <v>203</v>
      </c>
    </row>
    <row r="167" spans="1:10">
      <c r="A167">
        <v>164</v>
      </c>
      <c r="B167" t="str">
        <f t="shared" si="10"/>
        <v>5,25,10</v>
      </c>
      <c r="C167" s="2">
        <v>5</v>
      </c>
      <c r="D167" s="2">
        <v>25</v>
      </c>
      <c r="E167" s="2">
        <v>10</v>
      </c>
      <c r="F167" t="str">
        <f t="shared" si="11"/>
        <v>5,4,1.5,1,1;5,6,1.2,1,1;5,8,1.2,1,1;5,10,1.1,1,2;5,12,1.1,1,2;5+25,14,1,1,2;5+25,15+8,1,2,3;5+25,17+9,1,3,4;5+25,20+10,0.9,3,4;5+25,22+12,0.9,3,4;5+25,27+20,0.9,3,4;5+25,30+23,0.9,3,4;5+25+10,32+24+3,0.8,3,4;5+25+10,30+25+8,0.8,3,4;5+25+10,35+25+12,0.8,4,5;5+25+10,40+28+15,0.7,4,5;5+25+10,45+30+20,0.7,4,5;5+25+10,50+35+22,0.6,4,6;5+25+10,53+38+28,0.5,5,6;5+25+10,58+40+33,0.5,5,6;</v>
      </c>
      <c r="G167" t="s">
        <v>473</v>
      </c>
      <c r="H167" t="str">
        <f t="shared" si="9"/>
        <v>7,101,50,1;15,201,100,2</v>
      </c>
      <c r="I167">
        <v>101</v>
      </c>
      <c r="J167">
        <v>201</v>
      </c>
    </row>
    <row r="168" spans="1:10">
      <c r="A168">
        <v>165</v>
      </c>
      <c r="B168" t="str">
        <f t="shared" si="10"/>
        <v>7,24,11</v>
      </c>
      <c r="C168" s="2">
        <v>7</v>
      </c>
      <c r="D168" s="2">
        <v>24</v>
      </c>
      <c r="E168" s="2">
        <v>11</v>
      </c>
      <c r="F168" t="str">
        <f t="shared" si="11"/>
        <v>7,4,1.5,1,1;7,6,1.2,1,1;7,8,1.2,1,1;7,10,1.1,1,2;7,12,1.1,1,2;7+24,14,1,1,2;7+24,15+8,1,2,3;7+24,17+9,1,3,4;7+24,20+10,0.9,3,4;7+24,22+12,0.9,3,4;7+24,27+20,0.9,3,4;7+24,30+23,0.9,3,4;7+24+11,32+24+3,0.8,3,4;7+24+11,30+25+8,0.8,3,4;7+24+11,35+25+12,0.8,4,5;7+24+11,40+28+15,0.7,4,5;7+24+11,45+30+20,0.7,4,5;7+24+11,50+35+22,0.6,4,6;7+24+11,53+38+28,0.5,5,6;7+24+11,58+40+33,0.5,5,6;</v>
      </c>
      <c r="G168" t="s">
        <v>473</v>
      </c>
      <c r="H168" t="str">
        <f t="shared" si="9"/>
        <v>7,102,50,1;15,202,100,2</v>
      </c>
      <c r="I168">
        <v>102</v>
      </c>
      <c r="J168">
        <v>202</v>
      </c>
    </row>
    <row r="169" spans="1:10">
      <c r="A169">
        <v>166</v>
      </c>
      <c r="B169" t="str">
        <f t="shared" si="10"/>
        <v>13,2,23</v>
      </c>
      <c r="C169" s="2">
        <v>13</v>
      </c>
      <c r="D169" s="2">
        <v>2</v>
      </c>
      <c r="E169" s="2">
        <v>23</v>
      </c>
      <c r="F169" t="str">
        <f t="shared" si="11"/>
        <v>13,4,1.5,1,1;13,6,1.2,1,1;13,8,1.2,1,1;13,10,1.1,1,2;13,12,1.1,1,2;13+2,14,1,1,2;13+2,15+8,1,2,3;13+2,17+9,1,3,4;13+2,20+10,0.9,3,4;13+2,22+12,0.9,3,4;13+2,27+20,0.9,3,4;13+2,30+23,0.9,3,4;13+2+23,32+24+3,0.8,3,4;13+2+23,30+25+8,0.8,3,4;13+2+23,35+25+12,0.8,4,5;13+2+23,40+28+15,0.7,4,5;13+2+23,45+30+20,0.7,4,5;13+2+23,50+35+22,0.6,4,6;13+2+23,53+38+28,0.5,5,6;13+2+23,58+40+33,0.5,5,6;</v>
      </c>
      <c r="G169" t="s">
        <v>473</v>
      </c>
      <c r="H169" t="str">
        <f t="shared" si="9"/>
        <v>7,101,50,1;15,203,100,2</v>
      </c>
      <c r="I169">
        <v>101</v>
      </c>
      <c r="J169">
        <v>203</v>
      </c>
    </row>
    <row r="170" spans="1:10">
      <c r="A170">
        <v>167</v>
      </c>
      <c r="B170" t="str">
        <f t="shared" si="10"/>
        <v>13,4,26</v>
      </c>
      <c r="C170" s="2">
        <v>13</v>
      </c>
      <c r="D170" s="2">
        <v>4</v>
      </c>
      <c r="E170" s="2">
        <v>26</v>
      </c>
      <c r="F170" t="str">
        <f t="shared" si="11"/>
        <v>13,4,1.5,1,1;13,6,1.2,1,1;13,8,1.2,1,1;13,10,1.1,1,2;13,12,1.1,1,2;13+4,14,1,1,2;13+4,15+8,1,2,3;13+4,17+9,1,3,4;13+4,20+10,0.9,3,4;13+4,22+12,0.9,3,4;13+4,27+20,0.9,3,4;13+4,30+23,0.9,3,4;13+4+26,32+24+3,0.8,3,4;13+4+26,30+25+8,0.8,3,4;13+4+26,35+25+12,0.8,4,5;13+4+26,40+28+15,0.7,4,5;13+4+26,45+30+20,0.7,4,5;13+4+26,50+35+22,0.6,4,6;13+4+26,53+38+28,0.5,5,6;13+4+26,58+40+33,0.5,5,6;</v>
      </c>
      <c r="G170" t="s">
        <v>473</v>
      </c>
      <c r="H170" t="str">
        <f t="shared" si="9"/>
        <v>7,102,50,1;15,201,100,2</v>
      </c>
      <c r="I170">
        <v>102</v>
      </c>
      <c r="J170">
        <v>201</v>
      </c>
    </row>
    <row r="171" spans="1:10">
      <c r="A171">
        <v>168</v>
      </c>
      <c r="B171" t="str">
        <f t="shared" si="10"/>
        <v>16,9,28</v>
      </c>
      <c r="C171" s="2">
        <v>16</v>
      </c>
      <c r="D171" s="2">
        <v>9</v>
      </c>
      <c r="E171" s="2">
        <v>28</v>
      </c>
      <c r="F171" t="str">
        <f t="shared" si="11"/>
        <v>16,4,1.5,1,1;16,6,1.2,1,1;16,8,1.2,1,1;16,10,1.1,1,2;16,12,1.1,1,2;16+9,14,1,1,2;16+9,15+8,1,2,3;16+9,17+9,1,3,4;16+9,20+10,0.9,3,4;16+9,22+12,0.9,3,4;16+9,27+20,0.9,3,4;16+9,30+23,0.9,3,4;16+9+28,32+24+3,0.8,3,4;16+9+28,30+25+8,0.8,3,4;16+9+28,35+25+12,0.8,4,5;16+9+28,40+28+15,0.7,4,5;16+9+28,45+30+20,0.7,4,5;16+9+28,50+35+22,0.6,4,6;16+9+28,53+38+28,0.5,5,6;16+9+28,58+40+33,0.5,5,6;</v>
      </c>
      <c r="G171" t="s">
        <v>473</v>
      </c>
      <c r="H171" t="str">
        <f t="shared" si="9"/>
        <v>7,101,50,1;15,202,100,2</v>
      </c>
      <c r="I171">
        <v>101</v>
      </c>
      <c r="J171">
        <v>202</v>
      </c>
    </row>
    <row r="172" spans="1:10">
      <c r="A172">
        <v>169</v>
      </c>
      <c r="B172" t="str">
        <f t="shared" si="10"/>
        <v>17,12,3</v>
      </c>
      <c r="C172" s="2">
        <v>17</v>
      </c>
      <c r="D172" s="2">
        <v>12</v>
      </c>
      <c r="E172" s="2">
        <v>3</v>
      </c>
      <c r="F172" t="str">
        <f t="shared" si="11"/>
        <v>17,4,1.5,1,1;17,6,1.2,1,1;17,8,1.2,1,1;17,10,1.1,1,2;17,12,1.1,1,2;17+12,14,1,1,2;17+12,15+8,1,2,3;17+12,17+9,1,3,4;17+12,20+10,0.9,3,4;17+12,22+12,0.9,3,4;17+12,27+20,0.9,3,4;17+12,30+23,0.9,3,4;17+12+3,32+24+3,0.8,3,4;17+12+3,30+25+8,0.8,3,4;17+12+3,35+25+12,0.8,4,5;17+12+3,40+28+15,0.7,4,5;17+12+3,45+30+20,0.7,4,5;17+12+3,50+35+22,0.6,4,6;17+12+3,53+38+28,0.5,5,6;17+12+3,58+40+33,0.5,5,6;</v>
      </c>
      <c r="G172" t="s">
        <v>473</v>
      </c>
      <c r="H172" t="str">
        <f t="shared" si="9"/>
        <v>7,102,50,1;15,203,100,2</v>
      </c>
      <c r="I172">
        <v>102</v>
      </c>
      <c r="J172">
        <v>203</v>
      </c>
    </row>
    <row r="173" spans="1:10">
      <c r="A173">
        <v>170</v>
      </c>
      <c r="B173" t="str">
        <f t="shared" si="10"/>
        <v>18,15,6</v>
      </c>
      <c r="C173" s="2">
        <v>18</v>
      </c>
      <c r="D173" s="2">
        <v>15</v>
      </c>
      <c r="E173" s="2">
        <v>6</v>
      </c>
      <c r="F173" t="str">
        <f t="shared" si="11"/>
        <v>18,4,1.5,1,1;18,6,1.2,1,1;18,8,1.2,1,1;18,10,1.1,1,2;18,12,1.1,1,2;18+15,14,1,1,2;18+15,15+8,1,2,3;18+15,17+9,1,3,4;18+15,20+10,0.9,3,4;18+15,22+12,0.9,3,4;18+15,27+20,0.9,3,4;18+15,30+23,0.9,3,4;18+15+6,32+24+3,0.8,3,4;18+15+6,30+25+8,0.8,3,4;18+15+6,35+25+12,0.8,4,5;18+15+6,40+28+15,0.7,4,5;18+15+6,45+30+20,0.7,4,5;18+15+6,50+35+22,0.6,4,6;18+15+6,53+38+28,0.5,5,6;18+15+6,58+40+33,0.5,5,6;</v>
      </c>
      <c r="G173" t="s">
        <v>473</v>
      </c>
      <c r="H173" t="str">
        <f t="shared" si="9"/>
        <v>7,101,50,1;15,201,100,2</v>
      </c>
      <c r="I173">
        <v>101</v>
      </c>
      <c r="J173">
        <v>201</v>
      </c>
    </row>
    <row r="174" spans="1:10">
      <c r="A174">
        <v>171</v>
      </c>
      <c r="B174" t="str">
        <f t="shared" si="10"/>
        <v>19,20,8</v>
      </c>
      <c r="C174" s="2">
        <v>19</v>
      </c>
      <c r="D174" s="2">
        <v>20</v>
      </c>
      <c r="E174" s="2">
        <v>8</v>
      </c>
      <c r="F174" t="str">
        <f t="shared" si="11"/>
        <v>19,4,1.5,1,1;19,6,1.2,1,1;19,8,1.2,1,1;19,10,1.1,1,2;19,12,1.1,1,2;19+20,14,1,1,2;19+20,15+8,1,2,3;19+20,17+9,1,3,4;19+20,20+10,0.9,3,4;19+20,22+12,0.9,3,4;19+20,27+20,0.9,3,4;19+20,30+23,0.9,3,4;19+20+8,32+24+3,0.8,3,4;19+20+8,30+25+8,0.8,3,4;19+20+8,35+25+12,0.8,4,5;19+20+8,40+28+15,0.7,4,5;19+20+8,45+30+20,0.7,4,5;19+20+8,50+35+22,0.6,4,6;19+20+8,53+38+28,0.5,5,6;19+20+8,58+40+33,0.5,5,6;</v>
      </c>
      <c r="G174" t="s">
        <v>473</v>
      </c>
      <c r="H174" t="str">
        <f t="shared" si="9"/>
        <v>7,102,50,1;15,202,100,2</v>
      </c>
      <c r="I174">
        <v>102</v>
      </c>
      <c r="J174">
        <v>202</v>
      </c>
    </row>
    <row r="175" spans="1:10">
      <c r="A175">
        <v>172</v>
      </c>
      <c r="B175" t="str">
        <f t="shared" si="10"/>
        <v>1,21,10</v>
      </c>
      <c r="C175" s="2">
        <v>1</v>
      </c>
      <c r="D175" s="2">
        <v>21</v>
      </c>
      <c r="E175" s="2">
        <v>10</v>
      </c>
      <c r="F175" t="str">
        <f t="shared" si="11"/>
        <v>1,4,1.5,1,1;1,6,1.2,1,1;1,8,1.2,1,1;1,10,1.1,1,2;1,12,1.1,1,2;1+21,14,1,1,2;1+21,15+8,1,2,3;1+21,17+9,1,3,4;1+21,20+10,0.9,3,4;1+21,22+12,0.9,3,4;1+21,27+20,0.9,3,4;1+21,30+23,0.9,3,4;1+21+10,32+24+3,0.8,3,4;1+21+10,30+25+8,0.8,3,4;1+21+10,35+25+12,0.8,4,5;1+21+10,40+28+15,0.7,4,5;1+21+10,45+30+20,0.7,4,5;1+21+10,50+35+22,0.6,4,6;1+21+10,53+38+28,0.5,5,6;1+21+10,58+40+33,0.5,5,6;</v>
      </c>
      <c r="G175" t="s">
        <v>473</v>
      </c>
      <c r="H175" t="str">
        <f t="shared" si="9"/>
        <v>7,101,50,1;15,203,100,2</v>
      </c>
      <c r="I175">
        <v>101</v>
      </c>
      <c r="J175">
        <v>203</v>
      </c>
    </row>
    <row r="176" spans="1:10">
      <c r="A176">
        <v>173</v>
      </c>
      <c r="B176" t="str">
        <f t="shared" si="10"/>
        <v>5,22,11</v>
      </c>
      <c r="C176" s="2">
        <v>5</v>
      </c>
      <c r="D176" s="2">
        <v>22</v>
      </c>
      <c r="E176" s="2">
        <v>11</v>
      </c>
      <c r="F176" t="str">
        <f t="shared" si="11"/>
        <v>5,4,1.5,1,1;5,6,1.2,1,1;5,8,1.2,1,1;5,10,1.1,1,2;5,12,1.1,1,2;5+22,14,1,1,2;5+22,15+8,1,2,3;5+22,17+9,1,3,4;5+22,20+10,0.9,3,4;5+22,22+12,0.9,3,4;5+22,27+20,0.9,3,4;5+22,30+23,0.9,3,4;5+22+11,32+24+3,0.8,3,4;5+22+11,30+25+8,0.8,3,4;5+22+11,35+25+12,0.8,4,5;5+22+11,40+28+15,0.7,4,5;5+22+11,45+30+20,0.7,4,5;5+22+11,50+35+22,0.6,4,6;5+22+11,53+38+28,0.5,5,6;5+22+11,58+40+33,0.5,5,6;</v>
      </c>
      <c r="G176" t="s">
        <v>473</v>
      </c>
      <c r="H176" t="str">
        <f t="shared" si="9"/>
        <v>7,102,50,1;15,201,100,2</v>
      </c>
      <c r="I176">
        <v>102</v>
      </c>
      <c r="J176">
        <v>201</v>
      </c>
    </row>
    <row r="177" spans="1:10">
      <c r="A177">
        <v>174</v>
      </c>
      <c r="B177" t="str">
        <f t="shared" si="10"/>
        <v>7,24,23</v>
      </c>
      <c r="C177" s="2">
        <v>7</v>
      </c>
      <c r="D177" s="2">
        <v>24</v>
      </c>
      <c r="E177" s="2">
        <v>23</v>
      </c>
      <c r="F177" t="str">
        <f t="shared" si="11"/>
        <v>7,4,1.5,1,1;7,6,1.2,1,1;7,8,1.2,1,1;7,10,1.1,1,2;7,12,1.1,1,2;7+24,14,1,1,2;7+24,15+8,1,2,3;7+24,17+9,1,3,4;7+24,20+10,0.9,3,4;7+24,22+12,0.9,3,4;7+24,27+20,0.9,3,4;7+24,30+23,0.9,3,4;7+24+23,32+24+3,0.8,3,4;7+24+23,30+25+8,0.8,3,4;7+24+23,35+25+12,0.8,4,5;7+24+23,40+28+15,0.7,4,5;7+24+23,45+30+20,0.7,4,5;7+24+23,50+35+22,0.6,4,6;7+24+23,53+38+28,0.5,5,6;7+24+23,58+40+33,0.5,5,6;</v>
      </c>
      <c r="G177" t="s">
        <v>473</v>
      </c>
      <c r="H177" t="str">
        <f t="shared" si="9"/>
        <v>7,101,50,1;15,202,100,2</v>
      </c>
      <c r="I177">
        <v>101</v>
      </c>
      <c r="J177">
        <v>202</v>
      </c>
    </row>
    <row r="178" spans="1:10">
      <c r="A178">
        <v>175</v>
      </c>
      <c r="B178" t="str">
        <f t="shared" si="10"/>
        <v>13,25,26</v>
      </c>
      <c r="C178" s="2">
        <v>13</v>
      </c>
      <c r="D178" s="2">
        <v>25</v>
      </c>
      <c r="E178" s="2">
        <v>26</v>
      </c>
      <c r="F178" t="str">
        <f t="shared" si="11"/>
        <v>13,4,1.5,1,1;13,6,1.2,1,1;13,8,1.2,1,1;13,10,1.1,1,2;13,12,1.1,1,2;13+25,14,1,1,2;13+25,15+8,1,2,3;13+25,17+9,1,3,4;13+25,20+10,0.9,3,4;13+25,22+12,0.9,3,4;13+25,27+20,0.9,3,4;13+25,30+23,0.9,3,4;13+25+26,32+24+3,0.8,3,4;13+25+26,30+25+8,0.8,3,4;13+25+26,35+25+12,0.8,4,5;13+25+26,40+28+15,0.7,4,5;13+25+26,45+30+20,0.7,4,5;13+25+26,50+35+22,0.6,4,6;13+25+26,53+38+28,0.5,5,6;13+25+26,58+40+33,0.5,5,6;</v>
      </c>
      <c r="G178" t="s">
        <v>473</v>
      </c>
      <c r="H178" t="str">
        <f t="shared" si="9"/>
        <v>7,102,50,1;15,203,100,2</v>
      </c>
      <c r="I178">
        <v>102</v>
      </c>
      <c r="J178">
        <v>203</v>
      </c>
    </row>
    <row r="179" spans="1:10">
      <c r="A179">
        <v>176</v>
      </c>
      <c r="B179" t="str">
        <f t="shared" si="10"/>
        <v>13,24,28</v>
      </c>
      <c r="C179" s="2">
        <v>13</v>
      </c>
      <c r="D179" s="2">
        <v>24</v>
      </c>
      <c r="E179" s="2">
        <v>28</v>
      </c>
      <c r="F179" t="str">
        <f t="shared" si="11"/>
        <v>13,4,1.5,1,1;13,6,1.2,1,1;13,8,1.2,1,1;13,10,1.1,1,2;13,12,1.1,1,2;13+24,14,1,1,2;13+24,15+8,1,2,3;13+24,17+9,1,3,4;13+24,20+10,0.9,3,4;13+24,22+12,0.9,3,4;13+24,27+20,0.9,3,4;13+24,30+23,0.9,3,4;13+24+28,32+24+3,0.8,3,4;13+24+28,30+25+8,0.8,3,4;13+24+28,35+25+12,0.8,4,5;13+24+28,40+28+15,0.7,4,5;13+24+28,45+30+20,0.7,4,5;13+24+28,50+35+22,0.6,4,6;13+24+28,53+38+28,0.5,5,6;13+24+28,58+40+33,0.5,5,6;</v>
      </c>
      <c r="G179" t="s">
        <v>473</v>
      </c>
      <c r="H179" t="str">
        <f t="shared" si="9"/>
        <v>7,101,50,1;15,201,100,2</v>
      </c>
      <c r="I179">
        <v>101</v>
      </c>
      <c r="J179">
        <v>201</v>
      </c>
    </row>
    <row r="180" spans="1:10">
      <c r="A180">
        <v>177</v>
      </c>
      <c r="B180" t="str">
        <f t="shared" si="10"/>
        <v>16,2,3</v>
      </c>
      <c r="C180" s="2">
        <v>16</v>
      </c>
      <c r="D180" s="2">
        <v>2</v>
      </c>
      <c r="E180" s="2">
        <v>3</v>
      </c>
      <c r="F180" t="str">
        <f t="shared" si="11"/>
        <v>16,4,1.5,1,1;16,6,1.2,1,1;16,8,1.2,1,1;16,10,1.1,1,2;16,12,1.1,1,2;16+2,14,1,1,2;16+2,15+8,1,2,3;16+2,17+9,1,3,4;16+2,20+10,0.9,3,4;16+2,22+12,0.9,3,4;16+2,27+20,0.9,3,4;16+2,30+23,0.9,3,4;16+2+3,32+24+3,0.8,3,4;16+2+3,30+25+8,0.8,3,4;16+2+3,35+25+12,0.8,4,5;16+2+3,40+28+15,0.7,4,5;16+2+3,45+30+20,0.7,4,5;16+2+3,50+35+22,0.6,4,6;16+2+3,53+38+28,0.5,5,6;16+2+3,58+40+33,0.5,5,6;</v>
      </c>
      <c r="G180" t="s">
        <v>473</v>
      </c>
      <c r="H180" t="str">
        <f t="shared" si="9"/>
        <v>7,102,50,1;15,202,100,2</v>
      </c>
      <c r="I180">
        <v>102</v>
      </c>
      <c r="J180">
        <v>202</v>
      </c>
    </row>
    <row r="181" spans="1:10">
      <c r="A181">
        <v>178</v>
      </c>
      <c r="B181" t="str">
        <f t="shared" si="10"/>
        <v>17,4,6</v>
      </c>
      <c r="C181" s="2">
        <v>17</v>
      </c>
      <c r="D181" s="2">
        <v>4</v>
      </c>
      <c r="E181" s="2">
        <v>6</v>
      </c>
      <c r="F181" t="str">
        <f t="shared" si="11"/>
        <v>17,4,1.5,1,1;17,6,1.2,1,1;17,8,1.2,1,1;17,10,1.1,1,2;17,12,1.1,1,2;17+4,14,1,1,2;17+4,15+8,1,2,3;17+4,17+9,1,3,4;17+4,20+10,0.9,3,4;17+4,22+12,0.9,3,4;17+4,27+20,0.9,3,4;17+4,30+23,0.9,3,4;17+4+6,32+24+3,0.8,3,4;17+4+6,30+25+8,0.8,3,4;17+4+6,35+25+12,0.8,4,5;17+4+6,40+28+15,0.7,4,5;17+4+6,45+30+20,0.7,4,5;17+4+6,50+35+22,0.6,4,6;17+4+6,53+38+28,0.5,5,6;17+4+6,58+40+33,0.5,5,6;</v>
      </c>
      <c r="G181" t="s">
        <v>473</v>
      </c>
      <c r="H181" t="str">
        <f t="shared" si="9"/>
        <v>7,101,50,1;15,203,100,2</v>
      </c>
      <c r="I181">
        <v>101</v>
      </c>
      <c r="J181">
        <v>203</v>
      </c>
    </row>
    <row r="182" spans="1:10">
      <c r="A182">
        <v>179</v>
      </c>
      <c r="B182" t="str">
        <f t="shared" si="10"/>
        <v>18,9,8</v>
      </c>
      <c r="C182" s="2">
        <v>18</v>
      </c>
      <c r="D182" s="2">
        <v>9</v>
      </c>
      <c r="E182" s="2">
        <v>8</v>
      </c>
      <c r="F182" t="str">
        <f t="shared" si="11"/>
        <v>18,4,1.5,1,1;18,6,1.2,1,1;18,8,1.2,1,1;18,10,1.1,1,2;18,12,1.1,1,2;18+9,14,1,1,2;18+9,15+8,1,2,3;18+9,17+9,1,3,4;18+9,20+10,0.9,3,4;18+9,22+12,0.9,3,4;18+9,27+20,0.9,3,4;18+9,30+23,0.9,3,4;18+9+8,32+24+3,0.8,3,4;18+9+8,30+25+8,0.8,3,4;18+9+8,35+25+12,0.8,4,5;18+9+8,40+28+15,0.7,4,5;18+9+8,45+30+20,0.7,4,5;18+9+8,50+35+22,0.6,4,6;18+9+8,53+38+28,0.5,5,6;18+9+8,58+40+33,0.5,5,6;</v>
      </c>
      <c r="G182" t="s">
        <v>473</v>
      </c>
      <c r="H182" t="str">
        <f t="shared" si="9"/>
        <v>7,102,50,1;15,201,100,2</v>
      </c>
      <c r="I182">
        <v>102</v>
      </c>
      <c r="J182">
        <v>201</v>
      </c>
    </row>
    <row r="183" spans="1:10">
      <c r="A183">
        <v>180</v>
      </c>
      <c r="B183" t="str">
        <f t="shared" si="10"/>
        <v>19,12,10</v>
      </c>
      <c r="C183" s="2">
        <v>19</v>
      </c>
      <c r="D183" s="2">
        <v>12</v>
      </c>
      <c r="E183" s="2">
        <v>10</v>
      </c>
      <c r="F183" t="str">
        <f t="shared" si="11"/>
        <v>19,4,1.5,1,1;19,6,1.2,1,1;19,8,1.2,1,1;19,10,1.1,1,2;19,12,1.1,1,2;19+12,14,1,1,2;19+12,15+8,1,2,3;19+12,17+9,1,3,4;19+12,20+10,0.9,3,4;19+12,22+12,0.9,3,4;19+12,27+20,0.9,3,4;19+12,30+23,0.9,3,4;19+12+10,32+24+3,0.8,3,4;19+12+10,30+25+8,0.8,3,4;19+12+10,35+25+12,0.8,4,5;19+12+10,40+28+15,0.7,4,5;19+12+10,45+30+20,0.7,4,5;19+12+10,50+35+22,0.6,4,6;19+12+10,53+38+28,0.5,5,6;19+12+10,58+40+33,0.5,5,6;</v>
      </c>
      <c r="G183" t="s">
        <v>473</v>
      </c>
      <c r="H183" t="str">
        <f t="shared" si="9"/>
        <v>7,101,50,1;15,202,100,2</v>
      </c>
      <c r="I183">
        <v>101</v>
      </c>
      <c r="J183">
        <v>202</v>
      </c>
    </row>
    <row r="184" spans="1:10">
      <c r="A184">
        <v>181</v>
      </c>
      <c r="B184" t="str">
        <f t="shared" si="10"/>
        <v>1,9,11</v>
      </c>
      <c r="C184" s="2">
        <v>1</v>
      </c>
      <c r="D184" s="2">
        <v>9</v>
      </c>
      <c r="E184" s="2">
        <v>11</v>
      </c>
      <c r="F184" t="str">
        <f t="shared" si="11"/>
        <v>1,4,1.5,1,1;1,6,1.2,1,1;1,8,1.2,1,1;1,10,1.1,1,2;1,12,1.1,1,2;1+9,14,1,1,2;1+9,15+8,1,2,3;1+9,17+9,1,3,4;1+9,20+10,0.9,3,4;1+9,22+12,0.9,3,4;1+9,27+20,0.9,3,4;1+9,30+23,0.9,3,4;1+9+11,32+24+3,0.8,3,4;1+9+11,30+25+8,0.8,3,4;1+9+11,35+25+12,0.8,4,5;1+9+11,40+28+15,0.7,4,5;1+9+11,45+30+20,0.7,4,5;1+9+11,50+35+22,0.6,4,6;1+9+11,53+38+28,0.5,5,6;1+9+11,58+40+33,0.5,5,6;</v>
      </c>
      <c r="G184" t="s">
        <v>473</v>
      </c>
      <c r="H184" t="str">
        <f t="shared" si="9"/>
        <v>7,102,50,1;15,203,100,2</v>
      </c>
      <c r="I184">
        <v>102</v>
      </c>
      <c r="J184">
        <v>203</v>
      </c>
    </row>
    <row r="185" spans="1:10">
      <c r="A185">
        <v>182</v>
      </c>
      <c r="B185" t="str">
        <f t="shared" si="10"/>
        <v>5,20,23</v>
      </c>
      <c r="C185" s="2">
        <v>5</v>
      </c>
      <c r="D185" s="2">
        <v>20</v>
      </c>
      <c r="E185" s="2">
        <v>23</v>
      </c>
      <c r="F185" t="str">
        <f t="shared" si="11"/>
        <v>5,4,1.5,1,1;5,6,1.2,1,1;5,8,1.2,1,1;5,10,1.1,1,2;5,12,1.1,1,2;5+20,14,1,1,2;5+20,15+8,1,2,3;5+20,17+9,1,3,4;5+20,20+10,0.9,3,4;5+20,22+12,0.9,3,4;5+20,27+20,0.9,3,4;5+20,30+23,0.9,3,4;5+20+23,32+24+3,0.8,3,4;5+20+23,30+25+8,0.8,3,4;5+20+23,35+25+12,0.8,4,5;5+20+23,40+28+15,0.7,4,5;5+20+23,45+30+20,0.7,4,5;5+20+23,50+35+22,0.6,4,6;5+20+23,53+38+28,0.5,5,6;5+20+23,58+40+33,0.5,5,6;</v>
      </c>
      <c r="G185" t="s">
        <v>473</v>
      </c>
      <c r="H185" t="str">
        <f t="shared" si="9"/>
        <v>7,101,50,1;15,201,100,2</v>
      </c>
      <c r="I185">
        <v>101</v>
      </c>
      <c r="J185">
        <v>201</v>
      </c>
    </row>
    <row r="186" spans="1:10">
      <c r="A186">
        <v>183</v>
      </c>
      <c r="B186" t="str">
        <f t="shared" si="10"/>
        <v>7,21,26</v>
      </c>
      <c r="C186" s="2">
        <v>7</v>
      </c>
      <c r="D186" s="2">
        <v>21</v>
      </c>
      <c r="E186" s="2">
        <v>26</v>
      </c>
      <c r="F186" t="str">
        <f t="shared" si="11"/>
        <v>7,4,1.5,1,1;7,6,1.2,1,1;7,8,1.2,1,1;7,10,1.1,1,2;7,12,1.1,1,2;7+21,14,1,1,2;7+21,15+8,1,2,3;7+21,17+9,1,3,4;7+21,20+10,0.9,3,4;7+21,22+12,0.9,3,4;7+21,27+20,0.9,3,4;7+21,30+23,0.9,3,4;7+21+26,32+24+3,0.8,3,4;7+21+26,30+25+8,0.8,3,4;7+21+26,35+25+12,0.8,4,5;7+21+26,40+28+15,0.7,4,5;7+21+26,45+30+20,0.7,4,5;7+21+26,50+35+22,0.6,4,6;7+21+26,53+38+28,0.5,5,6;7+21+26,58+40+33,0.5,5,6;</v>
      </c>
      <c r="G186" t="s">
        <v>473</v>
      </c>
      <c r="H186" t="str">
        <f t="shared" si="9"/>
        <v>7,102,50,1;15,202,100,2</v>
      </c>
      <c r="I186">
        <v>102</v>
      </c>
      <c r="J186">
        <v>202</v>
      </c>
    </row>
    <row r="187" spans="1:10">
      <c r="A187">
        <v>184</v>
      </c>
      <c r="B187" t="str">
        <f t="shared" si="10"/>
        <v>13,22,28</v>
      </c>
      <c r="C187" s="2">
        <v>13</v>
      </c>
      <c r="D187" s="2">
        <v>22</v>
      </c>
      <c r="E187" s="2">
        <v>28</v>
      </c>
      <c r="F187" t="str">
        <f t="shared" si="11"/>
        <v>13,4,1.5,1,1;13,6,1.2,1,1;13,8,1.2,1,1;13,10,1.1,1,2;13,12,1.1,1,2;13+22,14,1,1,2;13+22,15+8,1,2,3;13+22,17+9,1,3,4;13+22,20+10,0.9,3,4;13+22,22+12,0.9,3,4;13+22,27+20,0.9,3,4;13+22,30+23,0.9,3,4;13+22+28,32+24+3,0.8,3,4;13+22+28,30+25+8,0.8,3,4;13+22+28,35+25+12,0.8,4,5;13+22+28,40+28+15,0.7,4,5;13+22+28,45+30+20,0.7,4,5;13+22+28,50+35+22,0.6,4,6;13+22+28,53+38+28,0.5,5,6;13+22+28,58+40+33,0.5,5,6;</v>
      </c>
      <c r="G187" t="s">
        <v>473</v>
      </c>
      <c r="H187" t="str">
        <f t="shared" si="9"/>
        <v>7,101,50,1;15,203,100,2</v>
      </c>
      <c r="I187">
        <v>101</v>
      </c>
      <c r="J187">
        <v>203</v>
      </c>
    </row>
    <row r="188" spans="1:10">
      <c r="A188">
        <v>185</v>
      </c>
      <c r="B188" t="str">
        <f t="shared" si="10"/>
        <v>13,24,3</v>
      </c>
      <c r="C188" s="2">
        <v>13</v>
      </c>
      <c r="D188" s="2">
        <v>24</v>
      </c>
      <c r="E188" s="2">
        <v>3</v>
      </c>
      <c r="F188" t="str">
        <f t="shared" si="11"/>
        <v>13,4,1.5,1,1;13,6,1.2,1,1;13,8,1.2,1,1;13,10,1.1,1,2;13,12,1.1,1,2;13+24,14,1,1,2;13+24,15+8,1,2,3;13+24,17+9,1,3,4;13+24,20+10,0.9,3,4;13+24,22+12,0.9,3,4;13+24,27+20,0.9,3,4;13+24,30+23,0.9,3,4;13+24+3,32+24+3,0.8,3,4;13+24+3,30+25+8,0.8,3,4;13+24+3,35+25+12,0.8,4,5;13+24+3,40+28+15,0.7,4,5;13+24+3,45+30+20,0.7,4,5;13+24+3,50+35+22,0.6,4,6;13+24+3,53+38+28,0.5,5,6;13+24+3,58+40+33,0.5,5,6;</v>
      </c>
      <c r="G188" t="s">
        <v>473</v>
      </c>
      <c r="H188" t="str">
        <f t="shared" si="9"/>
        <v>7,102,50,1;15,201,100,2</v>
      </c>
      <c r="I188">
        <v>102</v>
      </c>
      <c r="J188">
        <v>201</v>
      </c>
    </row>
    <row r="189" spans="1:10">
      <c r="A189">
        <v>186</v>
      </c>
      <c r="B189" t="str">
        <f t="shared" si="10"/>
        <v>16,25,6</v>
      </c>
      <c r="C189" s="2">
        <v>16</v>
      </c>
      <c r="D189" s="2">
        <v>25</v>
      </c>
      <c r="E189" s="2">
        <v>6</v>
      </c>
      <c r="F189" t="str">
        <f t="shared" si="11"/>
        <v>16,4,1.5,1,1;16,6,1.2,1,1;16,8,1.2,1,1;16,10,1.1,1,2;16,12,1.1,1,2;16+25,14,1,1,2;16+25,15+8,1,2,3;16+25,17+9,1,3,4;16+25,20+10,0.9,3,4;16+25,22+12,0.9,3,4;16+25,27+20,0.9,3,4;16+25,30+23,0.9,3,4;16+25+6,32+24+3,0.8,3,4;16+25+6,30+25+8,0.8,3,4;16+25+6,35+25+12,0.8,4,5;16+25+6,40+28+15,0.7,4,5;16+25+6,45+30+20,0.7,4,5;16+25+6,50+35+22,0.6,4,6;16+25+6,53+38+28,0.5,5,6;16+25+6,58+40+33,0.5,5,6;</v>
      </c>
      <c r="G189" t="s">
        <v>473</v>
      </c>
      <c r="H189" t="str">
        <f t="shared" si="9"/>
        <v>7,101,50,1;15,202,100,2</v>
      </c>
      <c r="I189">
        <v>101</v>
      </c>
      <c r="J189">
        <v>202</v>
      </c>
    </row>
    <row r="190" spans="1:10">
      <c r="A190">
        <v>187</v>
      </c>
      <c r="B190" t="str">
        <f t="shared" si="10"/>
        <v>17,27,8</v>
      </c>
      <c r="C190" s="2">
        <v>17</v>
      </c>
      <c r="D190" s="2">
        <v>27</v>
      </c>
      <c r="E190" s="2">
        <v>8</v>
      </c>
      <c r="F190" t="str">
        <f t="shared" si="11"/>
        <v>17,4,1.5,1,1;17,6,1.2,1,1;17,8,1.2,1,1;17,10,1.1,1,2;17,12,1.1,1,2;17+27,14,1,1,2;17+27,15+8,1,2,3;17+27,17+9,1,3,4;17+27,20+10,0.9,3,4;17+27,22+12,0.9,3,4;17+27,27+20,0.9,3,4;17+27,30+23,0.9,3,4;17+27+8,32+24+3,0.8,3,4;17+27+8,30+25+8,0.8,3,4;17+27+8,35+25+12,0.8,4,5;17+27+8,40+28+15,0.7,4,5;17+27+8,45+30+20,0.7,4,5;17+27+8,50+35+22,0.6,4,6;17+27+8,53+38+28,0.5,5,6;17+27+8,58+40+33,0.5,5,6;</v>
      </c>
      <c r="G190" t="s">
        <v>473</v>
      </c>
      <c r="H190" t="str">
        <f t="shared" si="9"/>
        <v>7,102,50,1;15,203,100,2</v>
      </c>
      <c r="I190">
        <v>102</v>
      </c>
      <c r="J190">
        <v>203</v>
      </c>
    </row>
    <row r="191" spans="1:10">
      <c r="A191">
        <v>188</v>
      </c>
      <c r="B191" t="str">
        <f t="shared" si="10"/>
        <v>18,2,10</v>
      </c>
      <c r="C191" s="2">
        <v>18</v>
      </c>
      <c r="D191" s="2">
        <v>2</v>
      </c>
      <c r="E191" s="2">
        <v>10</v>
      </c>
      <c r="F191" t="str">
        <f t="shared" si="11"/>
        <v>18,4,1.5,1,1;18,6,1.2,1,1;18,8,1.2,1,1;18,10,1.1,1,2;18,12,1.1,1,2;18+2,14,1,1,2;18+2,15+8,1,2,3;18+2,17+9,1,3,4;18+2,20+10,0.9,3,4;18+2,22+12,0.9,3,4;18+2,27+20,0.9,3,4;18+2,30+23,0.9,3,4;18+2+10,32+24+3,0.8,3,4;18+2+10,30+25+8,0.8,3,4;18+2+10,35+25+12,0.8,4,5;18+2+10,40+28+15,0.7,4,5;18+2+10,45+30+20,0.7,4,5;18+2+10,50+35+22,0.6,4,6;18+2+10,53+38+28,0.5,5,6;18+2+10,58+40+33,0.5,5,6;</v>
      </c>
      <c r="G191" t="s">
        <v>473</v>
      </c>
      <c r="H191" t="str">
        <f t="shared" si="9"/>
        <v>7,101,50,1;15,201,100,2</v>
      </c>
      <c r="I191">
        <v>101</v>
      </c>
      <c r="J191">
        <v>201</v>
      </c>
    </row>
    <row r="192" spans="1:10">
      <c r="A192">
        <v>189</v>
      </c>
      <c r="B192" t="str">
        <f t="shared" si="10"/>
        <v>19,5,11</v>
      </c>
      <c r="C192" s="2">
        <v>19</v>
      </c>
      <c r="D192" s="2">
        <v>5</v>
      </c>
      <c r="E192" s="2">
        <v>11</v>
      </c>
      <c r="F192" t="str">
        <f t="shared" si="11"/>
        <v>19,4,1.5,1,1;19,6,1.2,1,1;19,8,1.2,1,1;19,10,1.1,1,2;19,12,1.1,1,2;19+5,14,1,1,2;19+5,15+8,1,2,3;19+5,17+9,1,3,4;19+5,20+10,0.9,3,4;19+5,22+12,0.9,3,4;19+5,27+20,0.9,3,4;19+5,30+23,0.9,3,4;19+5+11,32+24+3,0.8,3,4;19+5+11,30+25+8,0.8,3,4;19+5+11,35+25+12,0.8,4,5;19+5+11,40+28+15,0.7,4,5;19+5+11,45+30+20,0.7,4,5;19+5+11,50+35+22,0.6,4,6;19+5+11,53+38+28,0.5,5,6;19+5+11,58+40+33,0.5,5,6;</v>
      </c>
      <c r="G192" t="s">
        <v>473</v>
      </c>
      <c r="H192" t="str">
        <f t="shared" si="9"/>
        <v>7,102,50,1;15,202,100,2</v>
      </c>
      <c r="I192">
        <v>102</v>
      </c>
      <c r="J192">
        <v>202</v>
      </c>
    </row>
    <row r="193" spans="1:10">
      <c r="A193">
        <v>190</v>
      </c>
      <c r="B193" t="str">
        <f t="shared" si="10"/>
        <v>1,9,23</v>
      </c>
      <c r="C193" s="2">
        <v>1</v>
      </c>
      <c r="D193" s="2">
        <v>9</v>
      </c>
      <c r="E193" s="2">
        <v>23</v>
      </c>
      <c r="F193" t="str">
        <f t="shared" si="11"/>
        <v>1,4,1.5,1,1;1,6,1.2,1,1;1,8,1.2,1,1;1,10,1.1,1,2;1,12,1.1,1,2;1+9,14,1,1,2;1+9,15+8,1,2,3;1+9,17+9,1,3,4;1+9,20+10,0.9,3,4;1+9,22+12,0.9,3,4;1+9,27+20,0.9,3,4;1+9,30+23,0.9,3,4;1+9+23,32+24+3,0.8,3,4;1+9+23,30+25+8,0.8,3,4;1+9+23,35+25+12,0.8,4,5;1+9+23,40+28+15,0.7,4,5;1+9+23,45+30+20,0.7,4,5;1+9+23,50+35+22,0.6,4,6;1+9+23,53+38+28,0.5,5,6;1+9+23,58+40+33,0.5,5,6;</v>
      </c>
      <c r="G193" t="s">
        <v>473</v>
      </c>
      <c r="H193" t="str">
        <f t="shared" si="9"/>
        <v>7,101,50,1;15,203,100,2</v>
      </c>
      <c r="I193">
        <v>101</v>
      </c>
      <c r="J193">
        <v>203</v>
      </c>
    </row>
    <row r="194" spans="1:10">
      <c r="A194">
        <v>191</v>
      </c>
      <c r="B194" t="str">
        <f t="shared" si="10"/>
        <v>5,12,26</v>
      </c>
      <c r="C194" s="2">
        <v>5</v>
      </c>
      <c r="D194" s="2">
        <v>12</v>
      </c>
      <c r="E194" s="2">
        <v>26</v>
      </c>
      <c r="F194" t="str">
        <f t="shared" si="11"/>
        <v>5,4,1.5,1,1;5,6,1.2,1,1;5,8,1.2,1,1;5,10,1.1,1,2;5,12,1.1,1,2;5+12,14,1,1,2;5+12,15+8,1,2,3;5+12,17+9,1,3,4;5+12,20+10,0.9,3,4;5+12,22+12,0.9,3,4;5+12,27+20,0.9,3,4;5+12,30+23,0.9,3,4;5+12+26,32+24+3,0.8,3,4;5+12+26,30+25+8,0.8,3,4;5+12+26,35+25+12,0.8,4,5;5+12+26,40+28+15,0.7,4,5;5+12+26,45+30+20,0.7,4,5;5+12+26,50+35+22,0.6,4,6;5+12+26,53+38+28,0.5,5,6;5+12+26,58+40+33,0.5,5,6;</v>
      </c>
      <c r="G194" t="s">
        <v>473</v>
      </c>
      <c r="H194" t="str">
        <f t="shared" si="9"/>
        <v>7,102,50,1;15,201,100,2</v>
      </c>
      <c r="I194">
        <v>102</v>
      </c>
      <c r="J194">
        <v>201</v>
      </c>
    </row>
    <row r="195" spans="1:10">
      <c r="A195">
        <v>192</v>
      </c>
      <c r="B195" t="str">
        <f t="shared" si="10"/>
        <v>7,9,28</v>
      </c>
      <c r="C195" s="2">
        <v>7</v>
      </c>
      <c r="D195" s="2">
        <v>9</v>
      </c>
      <c r="E195" s="2">
        <v>28</v>
      </c>
      <c r="F195" t="str">
        <f t="shared" si="11"/>
        <v>7,4,1.5,1,1;7,6,1.2,1,1;7,8,1.2,1,1;7,10,1.1,1,2;7,12,1.1,1,2;7+9,14,1,1,2;7+9,15+8,1,2,3;7+9,17+9,1,3,4;7+9,20+10,0.9,3,4;7+9,22+12,0.9,3,4;7+9,27+20,0.9,3,4;7+9,30+23,0.9,3,4;7+9+28,32+24+3,0.8,3,4;7+9+28,30+25+8,0.8,3,4;7+9+28,35+25+12,0.8,4,5;7+9+28,40+28+15,0.7,4,5;7+9+28,45+30+20,0.7,4,5;7+9+28,50+35+22,0.6,4,6;7+9+28,53+38+28,0.5,5,6;7+9+28,58+40+33,0.5,5,6;</v>
      </c>
      <c r="G195" t="s">
        <v>473</v>
      </c>
      <c r="H195" t="str">
        <f t="shared" si="9"/>
        <v>7,101,50,1;15,202,100,2</v>
      </c>
      <c r="I195">
        <v>101</v>
      </c>
      <c r="J195">
        <v>202</v>
      </c>
    </row>
    <row r="196" spans="1:10">
      <c r="A196">
        <v>193</v>
      </c>
      <c r="B196" t="str">
        <f t="shared" si="10"/>
        <v>13,20,3</v>
      </c>
      <c r="C196" s="2">
        <v>13</v>
      </c>
      <c r="D196" s="2">
        <v>20</v>
      </c>
      <c r="E196" s="2">
        <v>3</v>
      </c>
      <c r="F196" t="str">
        <f t="shared" si="11"/>
        <v>13,4,1.5,1,1;13,6,1.2,1,1;13,8,1.2,1,1;13,10,1.1,1,2;13,12,1.1,1,2;13+20,14,1,1,2;13+20,15+8,1,2,3;13+20,17+9,1,3,4;13+20,20+10,0.9,3,4;13+20,22+12,0.9,3,4;13+20,27+20,0.9,3,4;13+20,30+23,0.9,3,4;13+20+3,32+24+3,0.8,3,4;13+20+3,30+25+8,0.8,3,4;13+20+3,35+25+12,0.8,4,5;13+20+3,40+28+15,0.7,4,5;13+20+3,45+30+20,0.7,4,5;13+20+3,50+35+22,0.6,4,6;13+20+3,53+38+28,0.5,5,6;13+20+3,58+40+33,0.5,5,6;</v>
      </c>
      <c r="G196" t="s">
        <v>473</v>
      </c>
      <c r="H196" t="str">
        <f t="shared" si="9"/>
        <v>7,102,50,1;15,203,100,2</v>
      </c>
      <c r="I196">
        <v>102</v>
      </c>
      <c r="J196">
        <v>203</v>
      </c>
    </row>
    <row r="197" spans="1:10">
      <c r="A197">
        <v>194</v>
      </c>
      <c r="B197" t="str">
        <f t="shared" si="10"/>
        <v>14,21,6</v>
      </c>
      <c r="C197" s="2">
        <v>14</v>
      </c>
      <c r="D197" s="2">
        <v>21</v>
      </c>
      <c r="E197" s="2">
        <v>6</v>
      </c>
      <c r="F197" t="str">
        <f t="shared" si="11"/>
        <v>14,4,1.5,1,1;14,6,1.2,1,1;14,8,1.2,1,1;14,10,1.1,1,2;14,12,1.1,1,2;14+21,14,1,1,2;14+21,15+8,1,2,3;14+21,17+9,1,3,4;14+21,20+10,0.9,3,4;14+21,22+12,0.9,3,4;14+21,27+20,0.9,3,4;14+21,30+23,0.9,3,4;14+21+6,32+24+3,0.8,3,4;14+21+6,30+25+8,0.8,3,4;14+21+6,35+25+12,0.8,4,5;14+21+6,40+28+15,0.7,4,5;14+21+6,45+30+20,0.7,4,5;14+21+6,50+35+22,0.6,4,6;14+21+6,53+38+28,0.5,5,6;14+21+6,58+40+33,0.5,5,6;</v>
      </c>
      <c r="G197" t="s">
        <v>473</v>
      </c>
      <c r="H197" t="str">
        <f t="shared" ref="H197:H223" si="12">"7,"&amp;I197&amp;",50,1;15,"&amp;J197&amp;",100,2"</f>
        <v>7,101,50,1;15,201,100,2</v>
      </c>
      <c r="I197">
        <v>101</v>
      </c>
      <c r="J197">
        <v>201</v>
      </c>
    </row>
    <row r="198" spans="1:10">
      <c r="A198">
        <v>195</v>
      </c>
      <c r="B198" t="str">
        <f t="shared" si="10"/>
        <v>16,22,8</v>
      </c>
      <c r="C198" s="2">
        <v>16</v>
      </c>
      <c r="D198" s="2">
        <v>22</v>
      </c>
      <c r="E198" s="2">
        <v>8</v>
      </c>
      <c r="F198" t="str">
        <f t="shared" si="11"/>
        <v>16,4,1.5,1,1;16,6,1.2,1,1;16,8,1.2,1,1;16,10,1.1,1,2;16,12,1.1,1,2;16+22,14,1,1,2;16+22,15+8,1,2,3;16+22,17+9,1,3,4;16+22,20+10,0.9,3,4;16+22,22+12,0.9,3,4;16+22,27+20,0.9,3,4;16+22,30+23,0.9,3,4;16+22+8,32+24+3,0.8,3,4;16+22+8,30+25+8,0.8,3,4;16+22+8,35+25+12,0.8,4,5;16+22+8,40+28+15,0.7,4,5;16+22+8,45+30+20,0.7,4,5;16+22+8,50+35+22,0.6,4,6;16+22+8,53+38+28,0.5,5,6;16+22+8,58+40+33,0.5,5,6;</v>
      </c>
      <c r="G198" t="s">
        <v>473</v>
      </c>
      <c r="H198" t="str">
        <f t="shared" si="12"/>
        <v>7,102,50,1;15,202,100,2</v>
      </c>
      <c r="I198">
        <v>102</v>
      </c>
      <c r="J198">
        <v>202</v>
      </c>
    </row>
    <row r="199" spans="1:10">
      <c r="A199">
        <v>196</v>
      </c>
      <c r="B199" t="str">
        <f t="shared" si="10"/>
        <v>17,24,10</v>
      </c>
      <c r="C199" s="2">
        <v>17</v>
      </c>
      <c r="D199" s="2">
        <v>24</v>
      </c>
      <c r="E199" s="2">
        <v>10</v>
      </c>
      <c r="F199" t="str">
        <f t="shared" si="11"/>
        <v>17,4,1.5,1,1;17,6,1.2,1,1;17,8,1.2,1,1;17,10,1.1,1,2;17,12,1.1,1,2;17+24,14,1,1,2;17+24,15+8,1,2,3;17+24,17+9,1,3,4;17+24,20+10,0.9,3,4;17+24,22+12,0.9,3,4;17+24,27+20,0.9,3,4;17+24,30+23,0.9,3,4;17+24+10,32+24+3,0.8,3,4;17+24+10,30+25+8,0.8,3,4;17+24+10,35+25+12,0.8,4,5;17+24+10,40+28+15,0.7,4,5;17+24+10,45+30+20,0.7,4,5;17+24+10,50+35+22,0.6,4,6;17+24+10,53+38+28,0.5,5,6;17+24+10,58+40+33,0.5,5,6;</v>
      </c>
      <c r="G199" t="s">
        <v>473</v>
      </c>
      <c r="H199" t="str">
        <f t="shared" si="12"/>
        <v>7,101,50,1;15,203,100,2</v>
      </c>
      <c r="I199">
        <v>101</v>
      </c>
      <c r="J199">
        <v>203</v>
      </c>
    </row>
    <row r="200" spans="1:10">
      <c r="A200">
        <v>197</v>
      </c>
      <c r="B200" t="str">
        <f t="shared" si="10"/>
        <v>18,25,11</v>
      </c>
      <c r="C200" s="2">
        <v>18</v>
      </c>
      <c r="D200" s="2">
        <v>25</v>
      </c>
      <c r="E200" s="2">
        <v>11</v>
      </c>
      <c r="F200" t="str">
        <f t="shared" si="11"/>
        <v>18,4,1.5,1,1;18,6,1.2,1,1;18,8,1.2,1,1;18,10,1.1,1,2;18,12,1.1,1,2;18+25,14,1,1,2;18+25,15+8,1,2,3;18+25,17+9,1,3,4;18+25,20+10,0.9,3,4;18+25,22+12,0.9,3,4;18+25,27+20,0.9,3,4;18+25,30+23,0.9,3,4;18+25+11,32+24+3,0.8,3,4;18+25+11,30+25+8,0.8,3,4;18+25+11,35+25+12,0.8,4,5;18+25+11,40+28+15,0.7,4,5;18+25+11,45+30+20,0.7,4,5;18+25+11,50+35+22,0.6,4,6;18+25+11,53+38+28,0.5,5,6;18+25+11,58+40+33,0.5,5,6;</v>
      </c>
      <c r="G200" t="s">
        <v>473</v>
      </c>
      <c r="H200" t="str">
        <f t="shared" si="12"/>
        <v>7,102,50,1;15,201,100,2</v>
      </c>
      <c r="I200">
        <v>102</v>
      </c>
      <c r="J200">
        <v>201</v>
      </c>
    </row>
    <row r="201" spans="1:10">
      <c r="A201">
        <v>198</v>
      </c>
      <c r="B201" t="str">
        <f t="shared" si="10"/>
        <v>19,24,23</v>
      </c>
      <c r="C201" s="2">
        <v>19</v>
      </c>
      <c r="D201" s="2">
        <v>24</v>
      </c>
      <c r="E201" s="2">
        <v>23</v>
      </c>
      <c r="F201" t="str">
        <f t="shared" si="11"/>
        <v>19,4,1.5,1,1;19,6,1.2,1,1;19,8,1.2,1,1;19,10,1.1,1,2;19,12,1.1,1,2;19+24,14,1,1,2;19+24,15+8,1,2,3;19+24,17+9,1,3,4;19+24,20+10,0.9,3,4;19+24,22+12,0.9,3,4;19+24,27+20,0.9,3,4;19+24,30+23,0.9,3,4;19+24+23,32+24+3,0.8,3,4;19+24+23,30+25+8,0.8,3,4;19+24+23,35+25+12,0.8,4,5;19+24+23,40+28+15,0.7,4,5;19+24+23,45+30+20,0.7,4,5;19+24+23,50+35+22,0.6,4,6;19+24+23,53+38+28,0.5,5,6;19+24+23,58+40+33,0.5,5,6;</v>
      </c>
      <c r="G201" t="s">
        <v>473</v>
      </c>
      <c r="H201" t="str">
        <f t="shared" si="12"/>
        <v>7,101,50,1;15,202,100,2</v>
      </c>
      <c r="I201">
        <v>101</v>
      </c>
      <c r="J201">
        <v>202</v>
      </c>
    </row>
    <row r="202" spans="1:10">
      <c r="A202">
        <v>199</v>
      </c>
      <c r="B202" t="str">
        <f t="shared" si="10"/>
        <v>18,2,26</v>
      </c>
      <c r="C202" s="2">
        <v>18</v>
      </c>
      <c r="D202" s="2">
        <v>2</v>
      </c>
      <c r="E202" s="2">
        <v>26</v>
      </c>
      <c r="F202" t="str">
        <f t="shared" si="11"/>
        <v>18,4,1.5,1,1;18,6,1.2,1,1;18,8,1.2,1,1;18,10,1.1,1,2;18,12,1.1,1,2;18+2,14,1,1,2;18+2,15+8,1,2,3;18+2,17+9,1,3,4;18+2,20+10,0.9,3,4;18+2,22+12,0.9,3,4;18+2,27+20,0.9,3,4;18+2,30+23,0.9,3,4;18+2+26,32+24+3,0.8,3,4;18+2+26,30+25+8,0.8,3,4;18+2+26,35+25+12,0.8,4,5;18+2+26,40+28+15,0.7,4,5;18+2+26,45+30+20,0.7,4,5;18+2+26,50+35+22,0.6,4,6;18+2+26,53+38+28,0.5,5,6;18+2+26,58+40+33,0.5,5,6;</v>
      </c>
      <c r="G202" t="s">
        <v>473</v>
      </c>
      <c r="H202" t="str">
        <f t="shared" si="12"/>
        <v>7,102,50,1;15,203,100,2</v>
      </c>
      <c r="I202">
        <v>102</v>
      </c>
      <c r="J202">
        <v>203</v>
      </c>
    </row>
    <row r="203" spans="1:10">
      <c r="A203">
        <v>200</v>
      </c>
      <c r="B203" t="str">
        <f t="shared" si="10"/>
        <v>19,5,28</v>
      </c>
      <c r="C203" s="2">
        <v>19</v>
      </c>
      <c r="D203" s="2">
        <v>5</v>
      </c>
      <c r="E203" s="2">
        <v>28</v>
      </c>
      <c r="F203" t="str">
        <f t="shared" si="11"/>
        <v>19,4,1.5,1,1;19,6,1.2,1,1;19,8,1.2,1,1;19,10,1.1,1,2;19,12,1.1,1,2;19+5,14,1,1,2;19+5,15+8,1,2,3;19+5,17+9,1,3,4;19+5,20+10,0.9,3,4;19+5,22+12,0.9,3,4;19+5,27+20,0.9,3,4;19+5,30+23,0.9,3,4;19+5+28,32+24+3,0.8,3,4;19+5+28,30+25+8,0.8,3,4;19+5+28,35+25+12,0.8,4,5;19+5+28,40+28+15,0.7,4,5;19+5+28,45+30+20,0.7,4,5;19+5+28,50+35+22,0.6,4,6;19+5+28,53+38+28,0.5,5,6;19+5+28,58+40+33,0.5,5,6;</v>
      </c>
      <c r="G203" t="s">
        <v>473</v>
      </c>
      <c r="H203" t="str">
        <f t="shared" si="12"/>
        <v>7,101,50,1;15,201,100,2</v>
      </c>
      <c r="I203">
        <v>101</v>
      </c>
      <c r="J203">
        <v>201</v>
      </c>
    </row>
    <row r="204" spans="1:10">
      <c r="A204">
        <v>10001</v>
      </c>
      <c r="B204" t="str">
        <f t="shared" si="10"/>
        <v>1,9,3</v>
      </c>
      <c r="C204" s="2">
        <v>1</v>
      </c>
      <c r="D204" s="2">
        <v>9</v>
      </c>
      <c r="E204" s="2">
        <v>3</v>
      </c>
      <c r="F204" t="str">
        <f t="shared" si="11"/>
        <v>1,4,1.5,1,1;1,6,1.2,1,1;1,8,1.2,1,1;1,10,1.1,1,2;1,12,1.1,1,2;1+9,14,1,1,2;1+9,15+8,1,2,3;1+9,17+9,1,3,4;1+9,20+10,0.9,3,4;1+9,22+12,0.9,3,4;1+9,27+20,0.9,3,4;1+9,30+23,0.9,3,4;1+9+3,32+24+3,0.8,3,4;1+9+3,30+25+8,0.8,3,4;1+9+3,35+25+12,0.8,4,5;1+9+3,40+28+15,0.7,4,5;1+9+3,45+30+20,0.7,4,5;1+9+3,50+35+22,0.6,4,6;1+9+3,53+38+28,0.5,5,6;1+9+3,58+40+33,0.5,5,6;</v>
      </c>
      <c r="G204" t="s">
        <v>473</v>
      </c>
      <c r="H204" t="str">
        <f t="shared" si="12"/>
        <v>7,102,50,1;15,202,100,2</v>
      </c>
      <c r="I204">
        <v>102</v>
      </c>
      <c r="J204">
        <v>202</v>
      </c>
    </row>
    <row r="205" spans="1:10">
      <c r="A205">
        <v>10002</v>
      </c>
      <c r="B205" t="str">
        <f t="shared" si="10"/>
        <v>5,12,6</v>
      </c>
      <c r="C205" s="2">
        <v>5</v>
      </c>
      <c r="D205" s="2">
        <v>12</v>
      </c>
      <c r="E205" s="2">
        <v>6</v>
      </c>
      <c r="F205" t="str">
        <f t="shared" si="11"/>
        <v>5,4,1.5,1,1;5,6,1.2,1,1;5,8,1.2,1,1;5,10,1.1,1,2;5,12,1.1,1,2;5+12,14,1,1,2;5+12,15+8,1,2,3;5+12,17+9,1,3,4;5+12,20+10,0.9,3,4;5+12,22+12,0.9,3,4;5+12,27+20,0.9,3,4;5+12,30+23,0.9,3,4;5+12+6,32+24+3,0.8,3,4;5+12+6,30+25+8,0.8,3,4;5+12+6,35+25+12,0.8,4,5;5+12+6,40+28+15,0.7,4,5;5+12+6,45+30+20,0.7,4,5;5+12+6,50+35+22,0.6,4,6;5+12+6,53+38+28,0.5,5,6;5+12+6,58+40+33,0.5,5,6;</v>
      </c>
      <c r="G205" t="s">
        <v>473</v>
      </c>
      <c r="H205" t="str">
        <f t="shared" si="12"/>
        <v>7,101,50,1;15,203,100,2</v>
      </c>
      <c r="I205">
        <v>101</v>
      </c>
      <c r="J205">
        <v>203</v>
      </c>
    </row>
    <row r="206" spans="1:10">
      <c r="A206">
        <v>10003</v>
      </c>
      <c r="B206" t="str">
        <f t="shared" ref="B206:B223" si="13">_xlfn.TEXTJOIN(",",,C206:E206)</f>
        <v>7,15,8</v>
      </c>
      <c r="C206" s="2">
        <v>7</v>
      </c>
      <c r="D206" s="2">
        <v>15</v>
      </c>
      <c r="E206" s="2">
        <v>8</v>
      </c>
      <c r="F206" t="str">
        <f t="shared" si="11"/>
        <v>7,4,1.5,1,1;7,6,1.2,1,1;7,8,1.2,1,1;7,10,1.1,1,2;7,12,1.1,1,2;7+15,14,1,1,2;7+15,15+8,1,2,3;7+15,17+9,1,3,4;7+15,20+10,0.9,3,4;7+15,22+12,0.9,3,4;7+15,27+20,0.9,3,4;7+15,30+23,0.9,3,4;7+15+8,32+24+3,0.8,3,4;7+15+8,30+25+8,0.8,3,4;7+15+8,35+25+12,0.8,4,5;7+15+8,40+28+15,0.7,4,5;7+15+8,45+30+20,0.7,4,5;7+15+8,50+35+22,0.6,4,6;7+15+8,53+38+28,0.5,5,6;7+15+8,58+40+33,0.5,5,6;</v>
      </c>
      <c r="G206" t="s">
        <v>473</v>
      </c>
      <c r="H206" t="str">
        <f t="shared" si="12"/>
        <v>7,102,50,1;15,201,100,2</v>
      </c>
      <c r="I206">
        <v>102</v>
      </c>
      <c r="J206">
        <v>201</v>
      </c>
    </row>
    <row r="207" spans="1:10">
      <c r="A207">
        <v>10004</v>
      </c>
      <c r="B207" t="str">
        <f t="shared" si="13"/>
        <v>13,20,10</v>
      </c>
      <c r="C207" s="2">
        <v>13</v>
      </c>
      <c r="D207" s="2">
        <v>20</v>
      </c>
      <c r="E207" s="2">
        <v>10</v>
      </c>
      <c r="F207" t="str">
        <f t="shared" si="11"/>
        <v>13,4,1.5,1,1;13,6,1.2,1,1;13,8,1.2,1,1;13,10,1.1,1,2;13,12,1.1,1,2;13+20,14,1,1,2;13+20,15+8,1,2,3;13+20,17+9,1,3,4;13+20,20+10,0.9,3,4;13+20,22+12,0.9,3,4;13+20,27+20,0.9,3,4;13+20,30+23,0.9,3,4;13+20+10,32+24+3,0.8,3,4;13+20+10,30+25+8,0.8,3,4;13+20+10,35+25+12,0.8,4,5;13+20+10,40+28+15,0.7,4,5;13+20+10,45+30+20,0.7,4,5;13+20+10,50+35+22,0.6,4,6;13+20+10,53+38+28,0.5,5,6;13+20+10,58+40+33,0.5,5,6;</v>
      </c>
      <c r="G207" t="s">
        <v>473</v>
      </c>
      <c r="H207" t="str">
        <f t="shared" si="12"/>
        <v>7,101,50,1;15,202,100,2</v>
      </c>
      <c r="I207">
        <v>101</v>
      </c>
      <c r="J207">
        <v>202</v>
      </c>
    </row>
    <row r="208" spans="1:10">
      <c r="A208">
        <v>10005</v>
      </c>
      <c r="B208" t="str">
        <f t="shared" si="13"/>
        <v>16,21,11</v>
      </c>
      <c r="C208" s="2">
        <v>16</v>
      </c>
      <c r="D208" s="2">
        <v>21</v>
      </c>
      <c r="E208" s="2">
        <v>11</v>
      </c>
      <c r="F208" t="str">
        <f t="shared" si="11"/>
        <v>16,4,1.5,1,1;16,6,1.2,1,1;16,8,1.2,1,1;16,10,1.1,1,2;16,12,1.1,1,2;16+21,14,1,1,2;16+21,15+8,1,2,3;16+21,17+9,1,3,4;16+21,20+10,0.9,3,4;16+21,22+12,0.9,3,4;16+21,27+20,0.9,3,4;16+21,30+23,0.9,3,4;16+21+11,32+24+3,0.8,3,4;16+21+11,30+25+8,0.8,3,4;16+21+11,35+25+12,0.8,4,5;16+21+11,40+28+15,0.7,4,5;16+21+11,45+30+20,0.7,4,5;16+21+11,50+35+22,0.6,4,6;16+21+11,53+38+28,0.5,5,6;16+21+11,58+40+33,0.5,5,6;</v>
      </c>
      <c r="G208" t="s">
        <v>473</v>
      </c>
      <c r="H208" t="str">
        <f t="shared" si="12"/>
        <v>7,102,50,1;15,203,100,2</v>
      </c>
      <c r="I208">
        <v>102</v>
      </c>
      <c r="J208">
        <v>203</v>
      </c>
    </row>
    <row r="209" spans="1:10">
      <c r="A209">
        <v>10006</v>
      </c>
      <c r="B209" t="str">
        <f t="shared" si="13"/>
        <v>16,22,23</v>
      </c>
      <c r="C209" s="2">
        <v>16</v>
      </c>
      <c r="D209" s="2">
        <v>22</v>
      </c>
      <c r="E209" s="2">
        <v>23</v>
      </c>
      <c r="F209" t="str">
        <f t="shared" si="11"/>
        <v>16,4,1.5,1,1;16,6,1.2,1,1;16,8,1.2,1,1;16,10,1.1,1,2;16,12,1.1,1,2;16+22,14,1,1,2;16+22,15+8,1,2,3;16+22,17+9,1,3,4;16+22,20+10,0.9,3,4;16+22,22+12,0.9,3,4;16+22,27+20,0.9,3,4;16+22,30+23,0.9,3,4;16+22+23,32+24+3,0.8,3,4;16+22+23,30+25+8,0.8,3,4;16+22+23,35+25+12,0.8,4,5;16+22+23,40+28+15,0.7,4,5;16+22+23,45+30+20,0.7,4,5;16+22+23,50+35+22,0.6,4,6;16+22+23,53+38+28,0.5,5,6;16+22+23,58+40+33,0.5,5,6;</v>
      </c>
      <c r="G209" t="s">
        <v>473</v>
      </c>
      <c r="H209" t="str">
        <f t="shared" si="12"/>
        <v>7,101,50,1;15,201,100,2</v>
      </c>
      <c r="I209">
        <v>101</v>
      </c>
      <c r="J209">
        <v>201</v>
      </c>
    </row>
    <row r="210" spans="1:10">
      <c r="A210">
        <v>10007</v>
      </c>
      <c r="B210" t="str">
        <f t="shared" si="13"/>
        <v>17,24,26</v>
      </c>
      <c r="C210" s="2">
        <v>17</v>
      </c>
      <c r="D210" s="2">
        <v>24</v>
      </c>
      <c r="E210" s="2">
        <v>26</v>
      </c>
      <c r="F210" t="str">
        <f t="shared" si="11"/>
        <v>17,4,1.5,1,1;17,6,1.2,1,1;17,8,1.2,1,1;17,10,1.1,1,2;17,12,1.1,1,2;17+24,14,1,1,2;17+24,15+8,1,2,3;17+24,17+9,1,3,4;17+24,20+10,0.9,3,4;17+24,22+12,0.9,3,4;17+24,27+20,0.9,3,4;17+24,30+23,0.9,3,4;17+24+26,32+24+3,0.8,3,4;17+24+26,30+25+8,0.8,3,4;17+24+26,35+25+12,0.8,4,5;17+24+26,40+28+15,0.7,4,5;17+24+26,45+30+20,0.7,4,5;17+24+26,50+35+22,0.6,4,6;17+24+26,53+38+28,0.5,5,6;17+24+26,58+40+33,0.5,5,6;</v>
      </c>
      <c r="G210" t="s">
        <v>473</v>
      </c>
      <c r="H210" t="str">
        <f t="shared" si="12"/>
        <v>7,102,50,1;15,202,100,2</v>
      </c>
      <c r="I210">
        <v>102</v>
      </c>
      <c r="J210">
        <v>202</v>
      </c>
    </row>
    <row r="211" spans="1:10">
      <c r="A211">
        <v>10008</v>
      </c>
      <c r="B211" t="str">
        <f t="shared" si="13"/>
        <v>18,25,28</v>
      </c>
      <c r="C211" s="2">
        <v>18</v>
      </c>
      <c r="D211" s="2">
        <v>25</v>
      </c>
      <c r="E211" s="2">
        <v>28</v>
      </c>
      <c r="F211" t="str">
        <f t="shared" si="11"/>
        <v>18,4,1.5,1,1;18,6,1.2,1,1;18,8,1.2,1,1;18,10,1.1,1,2;18,12,1.1,1,2;18+25,14,1,1,2;18+25,15+8,1,2,3;18+25,17+9,1,3,4;18+25,20+10,0.9,3,4;18+25,22+12,0.9,3,4;18+25,27+20,0.9,3,4;18+25,30+23,0.9,3,4;18+25+28,32+24+3,0.8,3,4;18+25+28,30+25+8,0.8,3,4;18+25+28,35+25+12,0.8,4,5;18+25+28,40+28+15,0.7,4,5;18+25+28,45+30+20,0.7,4,5;18+25+28,50+35+22,0.6,4,6;18+25+28,53+38+28,0.5,5,6;18+25+28,58+40+33,0.5,5,6;</v>
      </c>
      <c r="G211" t="s">
        <v>473</v>
      </c>
      <c r="H211" t="str">
        <f t="shared" si="12"/>
        <v>7,101,50,1;15,203,100,2</v>
      </c>
      <c r="I211">
        <v>101</v>
      </c>
      <c r="J211">
        <v>203</v>
      </c>
    </row>
    <row r="212" spans="1:10">
      <c r="A212">
        <v>10009</v>
      </c>
      <c r="B212" t="str">
        <f t="shared" si="13"/>
        <v>19,27,26</v>
      </c>
      <c r="C212" s="2">
        <v>19</v>
      </c>
      <c r="D212" s="2">
        <v>27</v>
      </c>
      <c r="E212" s="2">
        <v>26</v>
      </c>
      <c r="F212" t="str">
        <f t="shared" ref="F212:F223" si="14">SUBSTITUTE(SUBSTITUTE(SUBSTITUTE(G212,101,C212),102,D212),103,E212)</f>
        <v>19,4,1.5,1,1;19,6,1.2,1,1;19,8,1.2,1,1;19,10,1.1,1,2;19,12,1.1,1,2;19+27,14,1,1,2;19+27,15+8,1,2,3;19+27,17+9,1,3,4;19+27,20+10,0.9,3,4;19+27,22+12,0.9,3,4;19+27,27+20,0.9,3,4;19+27,30+23,0.9,3,4;19+27+26,32+24+3,0.8,3,4;19+27+26,30+25+8,0.8,3,4;19+27+26,35+25+12,0.8,4,5;19+27+26,40+28+15,0.7,4,5;19+27+26,45+30+20,0.7,4,5;19+27+26,50+35+22,0.6,4,6;19+27+26,53+38+28,0.5,5,6;19+27+26,58+40+33,0.5,5,6;</v>
      </c>
      <c r="G212" t="s">
        <v>473</v>
      </c>
      <c r="H212" t="str">
        <f t="shared" si="12"/>
        <v>7,102,50,1;15,201,100,2</v>
      </c>
      <c r="I212">
        <v>102</v>
      </c>
      <c r="J212">
        <v>201</v>
      </c>
    </row>
    <row r="213" spans="1:10">
      <c r="A213">
        <v>10010</v>
      </c>
      <c r="B213" t="str">
        <f t="shared" si="13"/>
        <v>18,25,28</v>
      </c>
      <c r="C213" s="2">
        <v>18</v>
      </c>
      <c r="D213" s="2">
        <v>25</v>
      </c>
      <c r="E213" s="2">
        <v>28</v>
      </c>
      <c r="F213" t="str">
        <f t="shared" si="14"/>
        <v>18,4,1.5,1,1;18,6,1.2,1,1;18,8,1.2,1,1;18,10,1.1,1,2;18,12,1.1,1,2;18+25,14,1,1,2;18+25,15+8,1,2,3;18+25,17+9,1,3,4;18+25,20+10,0.9,3,4;18+25,22+12,0.9,3,4;18+25,27+20,0.9,3,4;18+25,30+23,0.9,3,4;18+25+28,32+24+3,0.8,3,4;18+25+28,30+25+8,0.8,3,4;18+25+28,35+25+12,0.8,4,5;18+25+28,40+28+15,0.7,4,5;18+25+28,45+30+20,0.7,4,5;18+25+28,50+35+22,0.6,4,6;18+25+28,53+38+28,0.5,5,6;18+25+28,58+40+33,0.5,5,6;</v>
      </c>
      <c r="G213" t="s">
        <v>473</v>
      </c>
      <c r="H213" t="str">
        <f t="shared" si="12"/>
        <v>7,101,50,1;15,202,100,2</v>
      </c>
      <c r="I213">
        <v>101</v>
      </c>
      <c r="J213">
        <v>202</v>
      </c>
    </row>
    <row r="214" spans="1:10">
      <c r="A214">
        <v>20001</v>
      </c>
      <c r="B214" t="str">
        <f t="shared" si="13"/>
        <v>1,5,3</v>
      </c>
      <c r="C214" s="2">
        <v>1</v>
      </c>
      <c r="D214" s="2">
        <v>5</v>
      </c>
      <c r="E214" s="2">
        <v>3</v>
      </c>
      <c r="F214" t="str">
        <f t="shared" si="14"/>
        <v>1,4,1.5,1,1;1,6,1.2,1,1;1,8,1.2,1,1;1,10,1.1,1,2;1,12,1.1,1,2;1+5,14,1,1,2;1+5,15+8,1,2,3;1+5,17+9,1,3,4;1+5,20+10,0.9,3,4;1+5,22+12,0.9,3,4;1+5,27+20,0.9,3,4;1+5,30+23,0.9,3,4;1+5+3,32+24+3,0.8,3,4;1+5+3,30+25+8,0.8,3,4;1+5+3,35+25+12,0.8,4,5;1+5+3,40+28+15,0.7,4,5;1+5+3,45+30+20,0.7,4,5;1+5+3,50+35+22,0.6,4,6;1+5+3,53+38+28,0.5,5,6;1+5+3,58+40+33,0.5,5,6;</v>
      </c>
      <c r="G214" t="s">
        <v>473</v>
      </c>
      <c r="H214" t="str">
        <f t="shared" si="12"/>
        <v>7,102,50,1;15,203,100,2</v>
      </c>
      <c r="I214">
        <v>102</v>
      </c>
      <c r="J214">
        <v>203</v>
      </c>
    </row>
    <row r="215" spans="1:10">
      <c r="A215">
        <v>20002</v>
      </c>
      <c r="B215" t="str">
        <f t="shared" si="13"/>
        <v>5,9,6</v>
      </c>
      <c r="C215" s="2">
        <v>5</v>
      </c>
      <c r="D215" s="2">
        <v>9</v>
      </c>
      <c r="E215" s="2">
        <v>6</v>
      </c>
      <c r="F215" t="str">
        <f t="shared" si="14"/>
        <v>5,4,1.5,1,1;5,6,1.2,1,1;5,8,1.2,1,1;5,10,1.1,1,2;5,12,1.1,1,2;5+9,14,1,1,2;5+9,15+8,1,2,3;5+9,17+9,1,3,4;5+9,20+10,0.9,3,4;5+9,22+12,0.9,3,4;5+9,27+20,0.9,3,4;5+9,30+23,0.9,3,4;5+9+6,32+24+3,0.8,3,4;5+9+6,30+25+8,0.8,3,4;5+9+6,35+25+12,0.8,4,5;5+9+6,40+28+15,0.7,4,5;5+9+6,45+30+20,0.7,4,5;5+9+6,50+35+22,0.6,4,6;5+9+6,53+38+28,0.5,5,6;5+9+6,58+40+33,0.5,5,6;</v>
      </c>
      <c r="G215" t="s">
        <v>473</v>
      </c>
      <c r="H215" t="str">
        <f t="shared" si="12"/>
        <v>7,101,50,1;15,201,100,2</v>
      </c>
      <c r="I215">
        <v>101</v>
      </c>
      <c r="J215">
        <v>201</v>
      </c>
    </row>
    <row r="216" spans="1:10">
      <c r="A216">
        <v>20003</v>
      </c>
      <c r="B216" t="str">
        <f t="shared" si="13"/>
        <v>7,12,8</v>
      </c>
      <c r="C216" s="2">
        <v>7</v>
      </c>
      <c r="D216" s="2">
        <v>12</v>
      </c>
      <c r="E216" s="2">
        <v>8</v>
      </c>
      <c r="F216" t="str">
        <f t="shared" si="14"/>
        <v>7,4,1.5,1,1;7,6,1.2,1,1;7,8,1.2,1,1;7,10,1.1,1,2;7,12,1.1,1,2;7+12,14,1,1,2;7+12,15+8,1,2,3;7+12,17+9,1,3,4;7+12,20+10,0.9,3,4;7+12,22+12,0.9,3,4;7+12,27+20,0.9,3,4;7+12,30+23,0.9,3,4;7+12+8,32+24+3,0.8,3,4;7+12+8,30+25+8,0.8,3,4;7+12+8,35+25+12,0.8,4,5;7+12+8,40+28+15,0.7,4,5;7+12+8,45+30+20,0.7,4,5;7+12+8,50+35+22,0.6,4,6;7+12+8,53+38+28,0.5,5,6;7+12+8,58+40+33,0.5,5,6;</v>
      </c>
      <c r="G216" t="s">
        <v>473</v>
      </c>
      <c r="H216" t="str">
        <f t="shared" si="12"/>
        <v>7,102,50,1;15,202,100,2</v>
      </c>
      <c r="I216">
        <v>102</v>
      </c>
      <c r="J216">
        <v>202</v>
      </c>
    </row>
    <row r="217" spans="1:10">
      <c r="A217">
        <v>20004</v>
      </c>
      <c r="B217" t="str">
        <f t="shared" si="13"/>
        <v>13,9,10</v>
      </c>
      <c r="C217" s="2">
        <v>13</v>
      </c>
      <c r="D217" s="2">
        <v>9</v>
      </c>
      <c r="E217" s="2">
        <v>10</v>
      </c>
      <c r="F217" t="str">
        <f t="shared" si="14"/>
        <v>13,4,1.5,1,1;13,6,1.2,1,1;13,8,1.2,1,1;13,10,1.1,1,2;13,12,1.1,1,2;13+9,14,1,1,2;13+9,15+8,1,2,3;13+9,17+9,1,3,4;13+9,20+10,0.9,3,4;13+9,22+12,0.9,3,4;13+9,27+20,0.9,3,4;13+9,30+23,0.9,3,4;13+9+10,32+24+3,0.8,3,4;13+9+10,30+25+8,0.8,3,4;13+9+10,35+25+12,0.8,4,5;13+9+10,40+28+15,0.7,4,5;13+9+10,45+30+20,0.7,4,5;13+9+10,50+35+22,0.6,4,6;13+9+10,53+38+28,0.5,5,6;13+9+10,58+40+33,0.5,5,6;</v>
      </c>
      <c r="G217" t="s">
        <v>473</v>
      </c>
      <c r="H217" t="str">
        <f t="shared" si="12"/>
        <v>7,101,50,1;15,203,100,2</v>
      </c>
      <c r="I217">
        <v>101</v>
      </c>
      <c r="J217">
        <v>203</v>
      </c>
    </row>
    <row r="218" spans="1:10">
      <c r="A218">
        <v>20005</v>
      </c>
      <c r="B218" t="str">
        <f t="shared" si="13"/>
        <v>16,20,11</v>
      </c>
      <c r="C218" s="2">
        <v>16</v>
      </c>
      <c r="D218" s="2">
        <v>20</v>
      </c>
      <c r="E218" s="2">
        <v>11</v>
      </c>
      <c r="F218" t="str">
        <f t="shared" si="14"/>
        <v>16,4,1.5,1,1;16,6,1.2,1,1;16,8,1.2,1,1;16,10,1.1,1,2;16,12,1.1,1,2;16+20,14,1,1,2;16+20,15+8,1,2,3;16+20,17+9,1,3,4;16+20,20+10,0.9,3,4;16+20,22+12,0.9,3,4;16+20,27+20,0.9,3,4;16+20,30+23,0.9,3,4;16+20+11,32+24+3,0.8,3,4;16+20+11,30+25+8,0.8,3,4;16+20+11,35+25+12,0.8,4,5;16+20+11,40+28+15,0.7,4,5;16+20+11,45+30+20,0.7,4,5;16+20+11,50+35+22,0.6,4,6;16+20+11,53+38+28,0.5,5,6;16+20+11,58+40+33,0.5,5,6;</v>
      </c>
      <c r="G218" t="s">
        <v>473</v>
      </c>
      <c r="H218" t="str">
        <f t="shared" si="12"/>
        <v>7,102,50,1;15,201,100,2</v>
      </c>
      <c r="I218">
        <v>102</v>
      </c>
      <c r="J218">
        <v>201</v>
      </c>
    </row>
    <row r="219" spans="1:10">
      <c r="A219">
        <v>20006</v>
      </c>
      <c r="B219" t="str">
        <f t="shared" si="13"/>
        <v>16,21,23</v>
      </c>
      <c r="C219" s="2">
        <v>16</v>
      </c>
      <c r="D219" s="2">
        <v>21</v>
      </c>
      <c r="E219" s="2">
        <v>23</v>
      </c>
      <c r="F219" t="str">
        <f t="shared" si="14"/>
        <v>16,4,1.5,1,1;16,6,1.2,1,1;16,8,1.2,1,1;16,10,1.1,1,2;16,12,1.1,1,2;16+21,14,1,1,2;16+21,15+8,1,2,3;16+21,17+9,1,3,4;16+21,20+10,0.9,3,4;16+21,22+12,0.9,3,4;16+21,27+20,0.9,3,4;16+21,30+23,0.9,3,4;16+21+23,32+24+3,0.8,3,4;16+21+23,30+25+8,0.8,3,4;16+21+23,35+25+12,0.8,4,5;16+21+23,40+28+15,0.7,4,5;16+21+23,45+30+20,0.7,4,5;16+21+23,50+35+22,0.6,4,6;16+21+23,53+38+28,0.5,5,6;16+21+23,58+40+33,0.5,5,6;</v>
      </c>
      <c r="G219" t="s">
        <v>473</v>
      </c>
      <c r="H219" t="str">
        <f t="shared" si="12"/>
        <v>7,101,50,1;15,202,100,2</v>
      </c>
      <c r="I219">
        <v>101</v>
      </c>
      <c r="J219">
        <v>202</v>
      </c>
    </row>
    <row r="220" spans="1:10">
      <c r="A220">
        <v>20007</v>
      </c>
      <c r="B220" t="str">
        <f t="shared" si="13"/>
        <v>17,22,26</v>
      </c>
      <c r="C220" s="2">
        <v>17</v>
      </c>
      <c r="D220" s="2">
        <v>22</v>
      </c>
      <c r="E220" s="2">
        <v>26</v>
      </c>
      <c r="F220" t="str">
        <f t="shared" si="14"/>
        <v>17,4,1.5,1,1;17,6,1.2,1,1;17,8,1.2,1,1;17,10,1.1,1,2;17,12,1.1,1,2;17+22,14,1,1,2;17+22,15+8,1,2,3;17+22,17+9,1,3,4;17+22,20+10,0.9,3,4;17+22,22+12,0.9,3,4;17+22,27+20,0.9,3,4;17+22,30+23,0.9,3,4;17+22+26,32+24+3,0.8,3,4;17+22+26,30+25+8,0.8,3,4;17+22+26,35+25+12,0.8,4,5;17+22+26,40+28+15,0.7,4,5;17+22+26,45+30+20,0.7,4,5;17+22+26,50+35+22,0.6,4,6;17+22+26,53+38+28,0.5,5,6;17+22+26,58+40+33,0.5,5,6;</v>
      </c>
      <c r="G220" t="s">
        <v>473</v>
      </c>
      <c r="H220" t="str">
        <f t="shared" si="12"/>
        <v>7,102,50,1;15,203,100,2</v>
      </c>
      <c r="I220">
        <v>102</v>
      </c>
      <c r="J220">
        <v>203</v>
      </c>
    </row>
    <row r="221" spans="1:10">
      <c r="A221">
        <v>20008</v>
      </c>
      <c r="B221" t="str">
        <f t="shared" si="13"/>
        <v>18,24,28</v>
      </c>
      <c r="C221" s="2">
        <v>18</v>
      </c>
      <c r="D221" s="2">
        <v>24</v>
      </c>
      <c r="E221" s="2">
        <v>28</v>
      </c>
      <c r="F221" t="str">
        <f t="shared" si="14"/>
        <v>18,4,1.5,1,1;18,6,1.2,1,1;18,8,1.2,1,1;18,10,1.1,1,2;18,12,1.1,1,2;18+24,14,1,1,2;18+24,15+8,1,2,3;18+24,17+9,1,3,4;18+24,20+10,0.9,3,4;18+24,22+12,0.9,3,4;18+24,27+20,0.9,3,4;18+24,30+23,0.9,3,4;18+24+28,32+24+3,0.8,3,4;18+24+28,30+25+8,0.8,3,4;18+24+28,35+25+12,0.8,4,5;18+24+28,40+28+15,0.7,4,5;18+24+28,45+30+20,0.7,4,5;18+24+28,50+35+22,0.6,4,6;18+24+28,53+38+28,0.5,5,6;18+24+28,58+40+33,0.5,5,6;</v>
      </c>
      <c r="G221" t="s">
        <v>473</v>
      </c>
      <c r="H221" t="str">
        <f t="shared" si="12"/>
        <v>7,101,50,1;15,201,100,2</v>
      </c>
      <c r="I221">
        <v>101</v>
      </c>
      <c r="J221">
        <v>201</v>
      </c>
    </row>
    <row r="222" spans="1:10">
      <c r="A222">
        <v>20009</v>
      </c>
      <c r="B222" t="str">
        <f t="shared" si="13"/>
        <v>19,25,26</v>
      </c>
      <c r="C222" s="2">
        <v>19</v>
      </c>
      <c r="D222" s="2">
        <v>25</v>
      </c>
      <c r="E222" s="2">
        <v>26</v>
      </c>
      <c r="F222" t="str">
        <f t="shared" si="14"/>
        <v>19,4,1.5,1,1;19,6,1.2,1,1;19,8,1.2,1,1;19,10,1.1,1,2;19,12,1.1,1,2;19+25,14,1,1,2;19+25,15+8,1,2,3;19+25,17+9,1,3,4;19+25,20+10,0.9,3,4;19+25,22+12,0.9,3,4;19+25,27+20,0.9,3,4;19+25,30+23,0.9,3,4;19+25+26,32+24+3,0.8,3,4;19+25+26,30+25+8,0.8,3,4;19+25+26,35+25+12,0.8,4,5;19+25+26,40+28+15,0.7,4,5;19+25+26,45+30+20,0.7,4,5;19+25+26,50+35+22,0.6,4,6;19+25+26,53+38+28,0.5,5,6;19+25+26,58+40+33,0.5,5,6;</v>
      </c>
      <c r="G222" t="s">
        <v>473</v>
      </c>
      <c r="H222" t="str">
        <f t="shared" si="12"/>
        <v>7,102,50,1;15,202,100,2</v>
      </c>
      <c r="I222">
        <v>102</v>
      </c>
      <c r="J222">
        <v>202</v>
      </c>
    </row>
    <row r="223" spans="1:10">
      <c r="A223">
        <v>20010</v>
      </c>
      <c r="B223" t="str">
        <f t="shared" si="13"/>
        <v>19,25,28</v>
      </c>
      <c r="C223" s="2">
        <v>19</v>
      </c>
      <c r="D223" s="2">
        <v>25</v>
      </c>
      <c r="E223" s="2">
        <v>28</v>
      </c>
      <c r="F223" t="str">
        <f t="shared" si="14"/>
        <v>19,4,1.5,1,1;19,6,1.2,1,1;19,8,1.2,1,1;19,10,1.1,1,2;19,12,1.1,1,2;19+25,14,1,1,2;19+25,15+8,1,2,3;19+25,17+9,1,3,4;19+25,20+10,0.9,3,4;19+25,22+12,0.9,3,4;19+25,27+20,0.9,3,4;19+25,30+23,0.9,3,4;19+25+28,32+24+3,0.8,3,4;19+25+28,30+25+8,0.8,3,4;19+25+28,35+25+12,0.8,4,5;19+25+28,40+28+15,0.7,4,5;19+25+28,45+30+20,0.7,4,5;19+25+28,50+35+22,0.6,4,6;19+25+28,53+38+28,0.5,5,6;19+25+28,58+40+33,0.5,5,6;</v>
      </c>
      <c r="G223" t="s">
        <v>473</v>
      </c>
      <c r="H223" t="str">
        <f t="shared" si="12"/>
        <v>7,101,50,1;15,203,100,2</v>
      </c>
      <c r="I223">
        <v>101</v>
      </c>
      <c r="J223">
        <v>203</v>
      </c>
    </row>
    <row r="224" spans="1:10">
      <c r="I224">
        <v>102</v>
      </c>
      <c r="J224">
        <v>201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C23" sqref="C23"/>
    </sheetView>
  </sheetViews>
  <sheetFormatPr defaultColWidth="9" defaultRowHeight="13.5" outlineLevelCol="2"/>
  <cols>
    <col min="2" max="3" width="16.275" customWidth="1"/>
  </cols>
  <sheetData>
    <row r="1" spans="1:3">
      <c r="A1" t="s">
        <v>474</v>
      </c>
      <c r="B1" t="s">
        <v>451</v>
      </c>
      <c r="C1" t="s">
        <v>451</v>
      </c>
    </row>
    <row r="2" spans="1:3">
      <c r="A2" t="s">
        <v>454</v>
      </c>
      <c r="B2" t="s">
        <v>475</v>
      </c>
      <c r="C2" t="s">
        <v>476</v>
      </c>
    </row>
    <row r="3" spans="1:3">
      <c r="A3">
        <v>1</v>
      </c>
      <c r="B3">
        <v>0</v>
      </c>
      <c r="C3" s="4">
        <v>0</v>
      </c>
    </row>
    <row r="4" spans="1:3">
      <c r="A4">
        <v>2</v>
      </c>
      <c r="B4">
        <v>0</v>
      </c>
      <c r="C4" s="5">
        <v>10</v>
      </c>
    </row>
    <row r="5" spans="1:3">
      <c r="A5">
        <v>3</v>
      </c>
      <c r="B5">
        <v>0</v>
      </c>
      <c r="C5" s="5">
        <v>20</v>
      </c>
    </row>
    <row r="6" spans="1:3">
      <c r="A6">
        <v>4</v>
      </c>
      <c r="B6">
        <v>0</v>
      </c>
      <c r="C6" s="5">
        <v>30</v>
      </c>
    </row>
    <row r="7" spans="1:3">
      <c r="A7">
        <v>5</v>
      </c>
      <c r="B7">
        <v>0</v>
      </c>
      <c r="C7" s="5">
        <v>40</v>
      </c>
    </row>
    <row r="8" spans="1:3">
      <c r="A8">
        <v>6</v>
      </c>
      <c r="B8">
        <v>10</v>
      </c>
      <c r="C8" s="5">
        <v>50</v>
      </c>
    </row>
    <row r="9" spans="1:3">
      <c r="A9">
        <v>7</v>
      </c>
      <c r="B9">
        <v>10</v>
      </c>
      <c r="C9" s="5">
        <v>60</v>
      </c>
    </row>
    <row r="10" spans="1:3">
      <c r="A10">
        <v>8</v>
      </c>
      <c r="B10">
        <v>10</v>
      </c>
      <c r="C10" s="5">
        <v>70</v>
      </c>
    </row>
    <row r="11" spans="1:3">
      <c r="A11">
        <v>9</v>
      </c>
      <c r="B11">
        <v>10</v>
      </c>
      <c r="C11" s="5">
        <v>80</v>
      </c>
    </row>
    <row r="12" spans="1:3">
      <c r="A12">
        <v>10</v>
      </c>
      <c r="B12">
        <v>10</v>
      </c>
      <c r="C12" s="5">
        <v>90</v>
      </c>
    </row>
    <row r="13" spans="1:3">
      <c r="A13">
        <v>11</v>
      </c>
      <c r="B13">
        <v>20</v>
      </c>
      <c r="C13" s="5">
        <v>100</v>
      </c>
    </row>
    <row r="14" spans="1:3">
      <c r="A14">
        <v>12</v>
      </c>
      <c r="B14">
        <v>20</v>
      </c>
      <c r="C14" s="5">
        <v>115</v>
      </c>
    </row>
    <row r="15" spans="1:3">
      <c r="A15">
        <v>13</v>
      </c>
      <c r="B15">
        <v>20</v>
      </c>
      <c r="C15" s="5">
        <v>130</v>
      </c>
    </row>
    <row r="16" spans="1:3">
      <c r="A16">
        <v>14</v>
      </c>
      <c r="B16">
        <v>20</v>
      </c>
      <c r="C16" s="5">
        <v>145</v>
      </c>
    </row>
    <row r="17" spans="1:3">
      <c r="A17">
        <v>15</v>
      </c>
      <c r="B17">
        <v>20</v>
      </c>
      <c r="C17" s="5">
        <v>160</v>
      </c>
    </row>
    <row r="18" spans="1:3">
      <c r="A18">
        <v>16</v>
      </c>
      <c r="B18">
        <v>30</v>
      </c>
      <c r="C18" s="5">
        <v>180</v>
      </c>
    </row>
    <row r="19" spans="1:3">
      <c r="A19">
        <v>17</v>
      </c>
      <c r="B19">
        <v>30</v>
      </c>
      <c r="C19" s="5">
        <v>200</v>
      </c>
    </row>
    <row r="20" spans="1:3">
      <c r="A20">
        <v>18</v>
      </c>
      <c r="B20">
        <v>30</v>
      </c>
      <c r="C20" s="5">
        <v>230</v>
      </c>
    </row>
    <row r="21" spans="1:3">
      <c r="A21">
        <v>19</v>
      </c>
      <c r="B21">
        <v>30</v>
      </c>
      <c r="C21" s="5">
        <v>260</v>
      </c>
    </row>
    <row r="22" spans="1:3">
      <c r="A22">
        <v>20</v>
      </c>
      <c r="B22">
        <v>30</v>
      </c>
      <c r="C22" s="5">
        <v>300</v>
      </c>
    </row>
    <row r="23" spans="1:3">
      <c r="A23" t="s">
        <v>477</v>
      </c>
      <c r="B23" t="str">
        <f>_xlfn.TEXTJOIN(B1,TRUE,B3:B22)</f>
        <v>0,0,0,0,0,10,10,10,10,10,20,20,20,20,20,30,30,30,30,30</v>
      </c>
      <c r="C23" t="str">
        <f>_xlfn.TEXTJOIN(C1,TRUE,C3:C22)</f>
        <v>0,10,20,30,40,50,60,70,80,90,100,115,130,145,160,180,200,230,260,300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1"/>
  <sheetViews>
    <sheetView topLeftCell="A169" workbookViewId="0">
      <selection activeCell="F2" sqref="F2:H221"/>
    </sheetView>
  </sheetViews>
  <sheetFormatPr defaultColWidth="9" defaultRowHeight="13.5"/>
  <cols>
    <col min="1" max="1" width="14.25" customWidth="1"/>
    <col min="2" max="2" width="31.375" customWidth="1"/>
    <col min="3" max="3" width="17.75" customWidth="1"/>
  </cols>
  <sheetData>
    <row r="1" spans="1:13">
      <c r="A1" t="s">
        <v>478</v>
      </c>
      <c r="B1" t="s">
        <v>479</v>
      </c>
      <c r="C1" t="s">
        <v>480</v>
      </c>
      <c r="E1" t="s">
        <v>481</v>
      </c>
      <c r="F1" t="s">
        <v>482</v>
      </c>
      <c r="G1" t="s">
        <v>483</v>
      </c>
      <c r="H1" t="s">
        <v>484</v>
      </c>
      <c r="J1" t="s">
        <v>485</v>
      </c>
      <c r="K1" t="s">
        <v>486</v>
      </c>
      <c r="L1" t="s">
        <v>487</v>
      </c>
      <c r="M1" t="s">
        <v>469</v>
      </c>
    </row>
    <row r="2" ht="15.75" spans="1:13">
      <c r="A2">
        <v>1</v>
      </c>
      <c r="B2" s="1">
        <v>0</v>
      </c>
      <c r="C2" s="2">
        <v>1</v>
      </c>
      <c r="E2">
        <v>1</v>
      </c>
      <c r="F2" s="2">
        <v>1</v>
      </c>
      <c r="G2" s="2">
        <v>2</v>
      </c>
      <c r="H2" s="2">
        <v>3</v>
      </c>
      <c r="J2">
        <f>VLOOKUP(F2,$A:$B,2,FALSE)</f>
        <v>0</v>
      </c>
      <c r="K2">
        <f>VLOOKUP(G2,$A:$B,2,FALSE)</f>
        <v>0</v>
      </c>
      <c r="L2">
        <f>VLOOKUP(H2,$A:$B,2,FALSE)</f>
        <v>1</v>
      </c>
      <c r="M2">
        <f>SUM(J2:L2)</f>
        <v>1</v>
      </c>
    </row>
    <row r="3" ht="15.75" spans="1:13">
      <c r="A3">
        <v>5</v>
      </c>
      <c r="B3" s="1">
        <v>0</v>
      </c>
      <c r="C3" s="2">
        <v>1</v>
      </c>
      <c r="E3">
        <v>2</v>
      </c>
      <c r="F3" s="2">
        <v>5</v>
      </c>
      <c r="G3" s="2">
        <v>4</v>
      </c>
      <c r="H3" s="2">
        <v>6</v>
      </c>
      <c r="J3">
        <f t="shared" ref="J3:J66" si="0">VLOOKUP(F3,$A:$B,2,FALSE)</f>
        <v>0</v>
      </c>
      <c r="K3">
        <f t="shared" ref="K3:K66" si="1">VLOOKUP(G3,$A:$B,2,FALSE)</f>
        <v>1</v>
      </c>
      <c r="L3">
        <f t="shared" ref="L3:L66" si="2">VLOOKUP(H3,$A:$B,2,FALSE)</f>
        <v>0</v>
      </c>
      <c r="M3">
        <f t="shared" ref="M3:M66" si="3">SUM(J3:L3)</f>
        <v>1</v>
      </c>
    </row>
    <row r="4" ht="15.75" spans="1:13">
      <c r="A4">
        <v>7</v>
      </c>
      <c r="B4" s="1">
        <v>0</v>
      </c>
      <c r="C4" s="2">
        <v>1</v>
      </c>
      <c r="E4">
        <v>3</v>
      </c>
      <c r="F4" s="2">
        <v>7</v>
      </c>
      <c r="G4" s="2">
        <v>9</v>
      </c>
      <c r="H4" s="2">
        <v>11</v>
      </c>
      <c r="J4">
        <f t="shared" si="0"/>
        <v>0</v>
      </c>
      <c r="K4">
        <f t="shared" si="1"/>
        <v>0</v>
      </c>
      <c r="L4">
        <f t="shared" si="2"/>
        <v>1</v>
      </c>
      <c r="M4">
        <f t="shared" si="3"/>
        <v>1</v>
      </c>
    </row>
    <row r="5" ht="15.75" spans="1:13">
      <c r="A5">
        <v>13</v>
      </c>
      <c r="B5" s="1">
        <v>0</v>
      </c>
      <c r="C5" s="2">
        <v>1</v>
      </c>
      <c r="E5">
        <v>4</v>
      </c>
      <c r="F5" s="2">
        <v>13</v>
      </c>
      <c r="G5" s="2">
        <v>12</v>
      </c>
      <c r="H5" s="2">
        <v>10</v>
      </c>
      <c r="J5">
        <f t="shared" si="0"/>
        <v>0</v>
      </c>
      <c r="K5">
        <f t="shared" si="1"/>
        <v>0</v>
      </c>
      <c r="L5">
        <f t="shared" si="2"/>
        <v>1</v>
      </c>
      <c r="M5">
        <f t="shared" si="3"/>
        <v>1</v>
      </c>
    </row>
    <row r="6" ht="15.75" spans="1:13">
      <c r="A6">
        <v>14</v>
      </c>
      <c r="B6" s="3">
        <v>1</v>
      </c>
      <c r="C6" s="2">
        <v>1</v>
      </c>
      <c r="E6">
        <v>5</v>
      </c>
      <c r="F6" s="2">
        <v>21</v>
      </c>
      <c r="G6" s="2">
        <v>15</v>
      </c>
      <c r="H6" s="2">
        <v>8</v>
      </c>
      <c r="J6">
        <f t="shared" si="0"/>
        <v>0</v>
      </c>
      <c r="K6">
        <f t="shared" si="1"/>
        <v>1</v>
      </c>
      <c r="L6">
        <f t="shared" si="2"/>
        <v>0</v>
      </c>
      <c r="M6">
        <f t="shared" si="3"/>
        <v>1</v>
      </c>
    </row>
    <row r="7" ht="15.75" spans="1:13">
      <c r="A7">
        <v>16</v>
      </c>
      <c r="B7" s="1">
        <v>0</v>
      </c>
      <c r="C7" s="2">
        <v>1</v>
      </c>
      <c r="E7">
        <v>6</v>
      </c>
      <c r="F7" s="2">
        <v>16</v>
      </c>
      <c r="G7" s="2">
        <v>20</v>
      </c>
      <c r="H7" s="2">
        <v>23</v>
      </c>
      <c r="J7">
        <f t="shared" si="0"/>
        <v>0</v>
      </c>
      <c r="K7">
        <f t="shared" si="1"/>
        <v>0</v>
      </c>
      <c r="L7">
        <f t="shared" si="2"/>
        <v>1</v>
      </c>
      <c r="M7">
        <f t="shared" si="3"/>
        <v>1</v>
      </c>
    </row>
    <row r="8" ht="15.75" spans="1:13">
      <c r="A8">
        <v>17</v>
      </c>
      <c r="B8" s="1">
        <v>0</v>
      </c>
      <c r="C8" s="2">
        <v>1</v>
      </c>
      <c r="E8">
        <v>7</v>
      </c>
      <c r="F8" s="2">
        <v>17</v>
      </c>
      <c r="G8" s="2">
        <v>14</v>
      </c>
      <c r="H8" s="2">
        <v>26</v>
      </c>
      <c r="J8">
        <f t="shared" si="0"/>
        <v>0</v>
      </c>
      <c r="K8">
        <f t="shared" si="1"/>
        <v>1</v>
      </c>
      <c r="L8">
        <f t="shared" si="2"/>
        <v>0</v>
      </c>
      <c r="M8">
        <f t="shared" si="3"/>
        <v>1</v>
      </c>
    </row>
    <row r="9" ht="15.75" spans="1:13">
      <c r="A9">
        <v>18</v>
      </c>
      <c r="B9" s="1">
        <v>0</v>
      </c>
      <c r="C9" s="2">
        <v>1</v>
      </c>
      <c r="E9">
        <v>8</v>
      </c>
      <c r="F9" s="2">
        <v>18</v>
      </c>
      <c r="G9" s="2">
        <v>22</v>
      </c>
      <c r="H9" s="2">
        <v>28</v>
      </c>
      <c r="J9">
        <f t="shared" si="0"/>
        <v>0</v>
      </c>
      <c r="K9">
        <f t="shared" si="1"/>
        <v>0</v>
      </c>
      <c r="L9">
        <f t="shared" si="2"/>
        <v>1</v>
      </c>
      <c r="M9">
        <f t="shared" si="3"/>
        <v>1</v>
      </c>
    </row>
    <row r="10" ht="15.75" spans="1:13">
      <c r="A10">
        <v>19</v>
      </c>
      <c r="B10" s="1">
        <v>0</v>
      </c>
      <c r="C10" s="2">
        <v>1</v>
      </c>
      <c r="E10">
        <v>9</v>
      </c>
      <c r="F10" s="2">
        <v>19</v>
      </c>
      <c r="G10" s="2">
        <v>24</v>
      </c>
      <c r="H10" s="2">
        <v>3</v>
      </c>
      <c r="J10">
        <f t="shared" si="0"/>
        <v>0</v>
      </c>
      <c r="K10">
        <f t="shared" si="1"/>
        <v>0</v>
      </c>
      <c r="L10">
        <f t="shared" si="2"/>
        <v>1</v>
      </c>
      <c r="M10">
        <f t="shared" si="3"/>
        <v>1</v>
      </c>
    </row>
    <row r="11" ht="15.75" spans="1:13">
      <c r="A11">
        <v>2</v>
      </c>
      <c r="B11" s="1">
        <v>0</v>
      </c>
      <c r="C11" s="2">
        <v>2</v>
      </c>
      <c r="E11">
        <v>10</v>
      </c>
      <c r="F11" s="2">
        <v>1</v>
      </c>
      <c r="G11" s="2">
        <v>25</v>
      </c>
      <c r="H11" s="2">
        <v>6</v>
      </c>
      <c r="J11">
        <f t="shared" si="0"/>
        <v>0</v>
      </c>
      <c r="K11">
        <f t="shared" si="1"/>
        <v>0</v>
      </c>
      <c r="L11">
        <f t="shared" si="2"/>
        <v>0</v>
      </c>
      <c r="M11">
        <f t="shared" si="3"/>
        <v>0</v>
      </c>
    </row>
    <row r="12" ht="15.75" spans="1:13">
      <c r="A12">
        <v>4</v>
      </c>
      <c r="B12" s="3">
        <v>1</v>
      </c>
      <c r="C12" s="2">
        <v>2</v>
      </c>
      <c r="E12">
        <v>11</v>
      </c>
      <c r="F12" s="2">
        <v>5</v>
      </c>
      <c r="G12" s="2">
        <v>27</v>
      </c>
      <c r="H12" s="2">
        <v>8</v>
      </c>
      <c r="J12">
        <f t="shared" si="0"/>
        <v>0</v>
      </c>
      <c r="K12">
        <f t="shared" si="1"/>
        <v>1</v>
      </c>
      <c r="L12">
        <f t="shared" si="2"/>
        <v>0</v>
      </c>
      <c r="M12">
        <f t="shared" si="3"/>
        <v>1</v>
      </c>
    </row>
    <row r="13" ht="15.75" spans="1:13">
      <c r="A13">
        <v>9</v>
      </c>
      <c r="B13" s="1">
        <v>0</v>
      </c>
      <c r="C13" s="2">
        <v>2</v>
      </c>
      <c r="E13">
        <v>12</v>
      </c>
      <c r="F13" s="2">
        <v>7</v>
      </c>
      <c r="G13" s="2">
        <v>2</v>
      </c>
      <c r="H13" s="2">
        <v>10</v>
      </c>
      <c r="J13">
        <f t="shared" si="0"/>
        <v>0</v>
      </c>
      <c r="K13">
        <f t="shared" si="1"/>
        <v>0</v>
      </c>
      <c r="L13">
        <f t="shared" si="2"/>
        <v>1</v>
      </c>
      <c r="M13">
        <f t="shared" si="3"/>
        <v>1</v>
      </c>
    </row>
    <row r="14" ht="15.75" spans="1:13">
      <c r="A14">
        <v>12</v>
      </c>
      <c r="B14" s="1">
        <v>0</v>
      </c>
      <c r="C14" s="2">
        <v>2</v>
      </c>
      <c r="E14">
        <v>13</v>
      </c>
      <c r="F14" s="2">
        <v>13</v>
      </c>
      <c r="G14" s="2">
        <v>12</v>
      </c>
      <c r="H14" s="2">
        <v>11</v>
      </c>
      <c r="J14">
        <f t="shared" si="0"/>
        <v>0</v>
      </c>
      <c r="K14">
        <f t="shared" si="1"/>
        <v>0</v>
      </c>
      <c r="L14">
        <f t="shared" si="2"/>
        <v>1</v>
      </c>
      <c r="M14">
        <f t="shared" si="3"/>
        <v>1</v>
      </c>
    </row>
    <row r="15" ht="15.75" spans="1:13">
      <c r="A15">
        <v>15</v>
      </c>
      <c r="B15" s="3">
        <v>1</v>
      </c>
      <c r="C15" s="2">
        <v>2</v>
      </c>
      <c r="E15">
        <v>14</v>
      </c>
      <c r="F15" s="2">
        <v>13</v>
      </c>
      <c r="G15" s="2">
        <v>9</v>
      </c>
      <c r="H15" s="2">
        <v>23</v>
      </c>
      <c r="J15">
        <f t="shared" si="0"/>
        <v>0</v>
      </c>
      <c r="K15">
        <f t="shared" si="1"/>
        <v>0</v>
      </c>
      <c r="L15">
        <f t="shared" si="2"/>
        <v>1</v>
      </c>
      <c r="M15">
        <f t="shared" si="3"/>
        <v>1</v>
      </c>
    </row>
    <row r="16" ht="15.75" spans="1:13">
      <c r="A16">
        <v>20</v>
      </c>
      <c r="B16" s="1">
        <v>0</v>
      </c>
      <c r="C16" s="2">
        <v>2</v>
      </c>
      <c r="E16">
        <v>15</v>
      </c>
      <c r="F16" s="2">
        <v>16</v>
      </c>
      <c r="G16" s="2">
        <v>4</v>
      </c>
      <c r="H16" s="2">
        <v>26</v>
      </c>
      <c r="J16">
        <f t="shared" si="0"/>
        <v>0</v>
      </c>
      <c r="K16">
        <f t="shared" si="1"/>
        <v>1</v>
      </c>
      <c r="L16">
        <f t="shared" si="2"/>
        <v>0</v>
      </c>
      <c r="M16">
        <f t="shared" si="3"/>
        <v>1</v>
      </c>
    </row>
    <row r="17" ht="15.75" spans="1:13">
      <c r="A17">
        <v>21</v>
      </c>
      <c r="B17" s="1">
        <v>0</v>
      </c>
      <c r="C17" s="2">
        <v>2</v>
      </c>
      <c r="E17">
        <v>16</v>
      </c>
      <c r="F17" s="2">
        <v>17</v>
      </c>
      <c r="G17" s="2">
        <v>16</v>
      </c>
      <c r="H17" s="2">
        <v>28</v>
      </c>
      <c r="J17">
        <f t="shared" si="0"/>
        <v>0</v>
      </c>
      <c r="K17">
        <f t="shared" si="1"/>
        <v>0</v>
      </c>
      <c r="L17">
        <f t="shared" si="2"/>
        <v>1</v>
      </c>
      <c r="M17">
        <f t="shared" si="3"/>
        <v>1</v>
      </c>
    </row>
    <row r="18" ht="15.75" spans="1:13">
      <c r="A18">
        <v>22</v>
      </c>
      <c r="B18" s="1">
        <v>0</v>
      </c>
      <c r="C18" s="2">
        <v>2</v>
      </c>
      <c r="E18">
        <v>17</v>
      </c>
      <c r="F18" s="2">
        <v>18</v>
      </c>
      <c r="G18" s="2">
        <v>20</v>
      </c>
      <c r="H18" s="2">
        <v>3</v>
      </c>
      <c r="J18">
        <f t="shared" si="0"/>
        <v>0</v>
      </c>
      <c r="K18">
        <f t="shared" si="1"/>
        <v>0</v>
      </c>
      <c r="L18">
        <f t="shared" si="2"/>
        <v>1</v>
      </c>
      <c r="M18">
        <f t="shared" si="3"/>
        <v>1</v>
      </c>
    </row>
    <row r="19" ht="15.75" spans="1:13">
      <c r="A19">
        <v>24</v>
      </c>
      <c r="B19" s="1">
        <v>0</v>
      </c>
      <c r="C19" s="2">
        <v>2</v>
      </c>
      <c r="E19">
        <v>18</v>
      </c>
      <c r="F19" s="2">
        <v>19</v>
      </c>
      <c r="G19" s="2">
        <v>21</v>
      </c>
      <c r="H19" s="2">
        <v>6</v>
      </c>
      <c r="J19">
        <f t="shared" si="0"/>
        <v>0</v>
      </c>
      <c r="K19">
        <f t="shared" si="1"/>
        <v>0</v>
      </c>
      <c r="L19">
        <f t="shared" si="2"/>
        <v>0</v>
      </c>
      <c r="M19">
        <f t="shared" si="3"/>
        <v>0</v>
      </c>
    </row>
    <row r="20" ht="15.75" spans="1:13">
      <c r="A20">
        <v>25</v>
      </c>
      <c r="B20" s="1">
        <v>0</v>
      </c>
      <c r="C20" s="2">
        <v>2</v>
      </c>
      <c r="E20">
        <v>19</v>
      </c>
      <c r="F20" s="2">
        <v>1</v>
      </c>
      <c r="G20" s="2">
        <v>22</v>
      </c>
      <c r="H20" s="2">
        <v>8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</v>
      </c>
    </row>
    <row r="21" ht="15.75" spans="1:13">
      <c r="A21">
        <v>27</v>
      </c>
      <c r="B21" s="3">
        <v>1</v>
      </c>
      <c r="C21" s="2">
        <v>2</v>
      </c>
      <c r="E21">
        <v>20</v>
      </c>
      <c r="F21" s="2">
        <v>5</v>
      </c>
      <c r="G21" s="2">
        <v>24</v>
      </c>
      <c r="H21" s="2">
        <v>10</v>
      </c>
      <c r="J21">
        <f t="shared" si="0"/>
        <v>0</v>
      </c>
      <c r="K21">
        <f t="shared" si="1"/>
        <v>0</v>
      </c>
      <c r="L21">
        <f t="shared" si="2"/>
        <v>1</v>
      </c>
      <c r="M21">
        <f t="shared" si="3"/>
        <v>1</v>
      </c>
    </row>
    <row r="22" ht="15.75" spans="1:13">
      <c r="A22">
        <v>3</v>
      </c>
      <c r="B22" s="3">
        <v>1</v>
      </c>
      <c r="C22" s="2">
        <v>3</v>
      </c>
      <c r="E22">
        <v>21</v>
      </c>
      <c r="F22" s="2">
        <v>7</v>
      </c>
      <c r="G22" s="2">
        <v>25</v>
      </c>
      <c r="H22" s="2">
        <v>11</v>
      </c>
      <c r="J22">
        <f t="shared" si="0"/>
        <v>0</v>
      </c>
      <c r="K22">
        <f t="shared" si="1"/>
        <v>0</v>
      </c>
      <c r="L22">
        <f t="shared" si="2"/>
        <v>1</v>
      </c>
      <c r="M22">
        <f t="shared" si="3"/>
        <v>1</v>
      </c>
    </row>
    <row r="23" ht="15.75" spans="1:13">
      <c r="A23">
        <v>6</v>
      </c>
      <c r="B23" s="1">
        <v>0</v>
      </c>
      <c r="C23" s="2">
        <v>3</v>
      </c>
      <c r="E23">
        <v>22</v>
      </c>
      <c r="F23" s="2">
        <v>13</v>
      </c>
      <c r="G23" s="2">
        <v>26</v>
      </c>
      <c r="H23" s="2">
        <v>23</v>
      </c>
      <c r="J23">
        <f t="shared" si="0"/>
        <v>0</v>
      </c>
      <c r="K23">
        <f t="shared" si="1"/>
        <v>0</v>
      </c>
      <c r="L23">
        <f t="shared" si="2"/>
        <v>1</v>
      </c>
      <c r="M23">
        <f t="shared" si="3"/>
        <v>1</v>
      </c>
    </row>
    <row r="24" ht="15.75" spans="1:13">
      <c r="A24">
        <v>8</v>
      </c>
      <c r="B24" s="1">
        <v>0</v>
      </c>
      <c r="C24" s="2">
        <v>3</v>
      </c>
      <c r="E24">
        <v>23</v>
      </c>
      <c r="F24" s="2">
        <v>14</v>
      </c>
      <c r="G24" s="2">
        <v>2</v>
      </c>
      <c r="H24" s="2">
        <v>26</v>
      </c>
      <c r="J24">
        <f t="shared" si="0"/>
        <v>1</v>
      </c>
      <c r="K24">
        <f t="shared" si="1"/>
        <v>0</v>
      </c>
      <c r="L24">
        <f t="shared" si="2"/>
        <v>0</v>
      </c>
      <c r="M24">
        <f t="shared" si="3"/>
        <v>1</v>
      </c>
    </row>
    <row r="25" ht="15.75" spans="1:13">
      <c r="A25">
        <v>10</v>
      </c>
      <c r="B25" s="3">
        <v>1</v>
      </c>
      <c r="C25" s="2">
        <v>3</v>
      </c>
      <c r="E25">
        <v>24</v>
      </c>
      <c r="F25" s="2">
        <v>16</v>
      </c>
      <c r="G25" s="2">
        <v>5</v>
      </c>
      <c r="H25" s="2">
        <v>28</v>
      </c>
      <c r="J25">
        <f t="shared" si="0"/>
        <v>0</v>
      </c>
      <c r="K25">
        <f t="shared" si="1"/>
        <v>0</v>
      </c>
      <c r="L25">
        <f t="shared" si="2"/>
        <v>1</v>
      </c>
      <c r="M25">
        <f t="shared" si="3"/>
        <v>1</v>
      </c>
    </row>
    <row r="26" ht="15.75" spans="1:13">
      <c r="A26">
        <v>11</v>
      </c>
      <c r="B26" s="3">
        <v>1</v>
      </c>
      <c r="C26" s="2">
        <v>3</v>
      </c>
      <c r="E26">
        <v>25</v>
      </c>
      <c r="F26" s="2">
        <v>17</v>
      </c>
      <c r="G26" s="2">
        <v>9</v>
      </c>
      <c r="H26" s="2">
        <v>3</v>
      </c>
      <c r="J26">
        <f t="shared" si="0"/>
        <v>0</v>
      </c>
      <c r="K26">
        <f t="shared" si="1"/>
        <v>0</v>
      </c>
      <c r="L26">
        <f t="shared" si="2"/>
        <v>1</v>
      </c>
      <c r="M26">
        <f t="shared" si="3"/>
        <v>1</v>
      </c>
    </row>
    <row r="27" ht="15.75" spans="1:13">
      <c r="A27">
        <v>23</v>
      </c>
      <c r="B27" s="3">
        <v>1</v>
      </c>
      <c r="C27" s="2">
        <v>3</v>
      </c>
      <c r="E27">
        <v>26</v>
      </c>
      <c r="F27" s="2">
        <v>18</v>
      </c>
      <c r="G27" s="2">
        <v>12</v>
      </c>
      <c r="H27" s="2">
        <v>6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</row>
    <row r="28" ht="15.75" spans="1:13">
      <c r="A28">
        <v>26</v>
      </c>
      <c r="B28" s="1">
        <v>0</v>
      </c>
      <c r="C28" s="2">
        <v>3</v>
      </c>
      <c r="E28">
        <v>27</v>
      </c>
      <c r="F28" s="2">
        <v>19</v>
      </c>
      <c r="G28" s="2">
        <v>15</v>
      </c>
      <c r="H28" s="2">
        <v>8</v>
      </c>
      <c r="J28">
        <f t="shared" si="0"/>
        <v>0</v>
      </c>
      <c r="K28">
        <f t="shared" si="1"/>
        <v>1</v>
      </c>
      <c r="L28">
        <f t="shared" si="2"/>
        <v>0</v>
      </c>
      <c r="M28">
        <f t="shared" si="3"/>
        <v>1</v>
      </c>
    </row>
    <row r="29" ht="15.75" spans="1:13">
      <c r="A29">
        <v>28</v>
      </c>
      <c r="B29" s="3">
        <v>1</v>
      </c>
      <c r="C29" s="2">
        <v>3</v>
      </c>
      <c r="E29">
        <v>28</v>
      </c>
      <c r="F29" s="2">
        <v>1</v>
      </c>
      <c r="G29" s="2">
        <v>20</v>
      </c>
      <c r="H29" s="2">
        <v>10</v>
      </c>
      <c r="J29">
        <f t="shared" si="0"/>
        <v>0</v>
      </c>
      <c r="K29">
        <f t="shared" si="1"/>
        <v>0</v>
      </c>
      <c r="L29">
        <f t="shared" si="2"/>
        <v>1</v>
      </c>
      <c r="M29">
        <f t="shared" si="3"/>
        <v>1</v>
      </c>
    </row>
    <row r="30" spans="1:13">
      <c r="E30">
        <v>29</v>
      </c>
      <c r="F30" s="2">
        <v>5</v>
      </c>
      <c r="G30" s="2">
        <v>21</v>
      </c>
      <c r="H30" s="2">
        <v>11</v>
      </c>
      <c r="J30">
        <f t="shared" si="0"/>
        <v>0</v>
      </c>
      <c r="K30">
        <f t="shared" si="1"/>
        <v>0</v>
      </c>
      <c r="L30">
        <f t="shared" si="2"/>
        <v>1</v>
      </c>
      <c r="M30">
        <f t="shared" si="3"/>
        <v>1</v>
      </c>
    </row>
    <row r="31" spans="1:13">
      <c r="E31">
        <v>30</v>
      </c>
      <c r="F31" s="2">
        <v>7</v>
      </c>
      <c r="G31" s="2">
        <v>22</v>
      </c>
      <c r="H31" s="2">
        <v>23</v>
      </c>
      <c r="J31">
        <f t="shared" si="0"/>
        <v>0</v>
      </c>
      <c r="K31">
        <f t="shared" si="1"/>
        <v>0</v>
      </c>
      <c r="L31">
        <f t="shared" si="2"/>
        <v>1</v>
      </c>
      <c r="M31">
        <f t="shared" si="3"/>
        <v>1</v>
      </c>
    </row>
    <row r="32" spans="1:13">
      <c r="E32">
        <v>31</v>
      </c>
      <c r="F32" s="2">
        <v>13</v>
      </c>
      <c r="G32" s="2">
        <v>24</v>
      </c>
      <c r="H32" s="2">
        <v>26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0</v>
      </c>
    </row>
    <row r="33" spans="5:13">
      <c r="E33">
        <v>32</v>
      </c>
      <c r="F33" s="2">
        <v>13</v>
      </c>
      <c r="G33" s="2">
        <v>25</v>
      </c>
      <c r="H33" s="2">
        <v>28</v>
      </c>
      <c r="J33">
        <f t="shared" si="0"/>
        <v>0</v>
      </c>
      <c r="K33">
        <f t="shared" si="1"/>
        <v>0</v>
      </c>
      <c r="L33">
        <f t="shared" si="2"/>
        <v>1</v>
      </c>
      <c r="M33">
        <f t="shared" si="3"/>
        <v>1</v>
      </c>
    </row>
    <row r="34" spans="5:13">
      <c r="E34">
        <v>33</v>
      </c>
      <c r="F34" s="2">
        <v>16</v>
      </c>
      <c r="G34" s="2">
        <v>25</v>
      </c>
      <c r="H34" s="2">
        <v>3</v>
      </c>
      <c r="J34">
        <f t="shared" si="0"/>
        <v>0</v>
      </c>
      <c r="K34">
        <f t="shared" si="1"/>
        <v>0</v>
      </c>
      <c r="L34">
        <f t="shared" si="2"/>
        <v>1</v>
      </c>
      <c r="M34">
        <f t="shared" si="3"/>
        <v>1</v>
      </c>
    </row>
    <row r="35" spans="5:13">
      <c r="E35">
        <v>34</v>
      </c>
      <c r="F35" s="2">
        <v>17</v>
      </c>
      <c r="G35" s="2">
        <v>2</v>
      </c>
      <c r="H35" s="2">
        <v>6</v>
      </c>
      <c r="J35">
        <f t="shared" si="0"/>
        <v>0</v>
      </c>
      <c r="K35">
        <f t="shared" si="1"/>
        <v>0</v>
      </c>
      <c r="L35">
        <f t="shared" si="2"/>
        <v>0</v>
      </c>
      <c r="M35">
        <f t="shared" si="3"/>
        <v>0</v>
      </c>
    </row>
    <row r="36" spans="5:13">
      <c r="E36">
        <v>35</v>
      </c>
      <c r="F36" s="2">
        <v>18</v>
      </c>
      <c r="G36" s="2">
        <v>4</v>
      </c>
      <c r="H36" s="2">
        <v>8</v>
      </c>
      <c r="J36">
        <f t="shared" si="0"/>
        <v>0</v>
      </c>
      <c r="K36">
        <f t="shared" si="1"/>
        <v>1</v>
      </c>
      <c r="L36">
        <f t="shared" si="2"/>
        <v>0</v>
      </c>
      <c r="M36">
        <f t="shared" si="3"/>
        <v>1</v>
      </c>
    </row>
    <row r="37" spans="5:13">
      <c r="E37">
        <v>36</v>
      </c>
      <c r="F37" s="2">
        <v>19</v>
      </c>
      <c r="G37" s="2">
        <v>9</v>
      </c>
      <c r="H37" s="2">
        <v>10</v>
      </c>
      <c r="J37">
        <f t="shared" si="0"/>
        <v>0</v>
      </c>
      <c r="K37">
        <f t="shared" si="1"/>
        <v>0</v>
      </c>
      <c r="L37">
        <f t="shared" si="2"/>
        <v>1</v>
      </c>
      <c r="M37">
        <f t="shared" si="3"/>
        <v>1</v>
      </c>
    </row>
    <row r="38" spans="5:13">
      <c r="E38">
        <v>37</v>
      </c>
      <c r="F38" s="2">
        <v>1</v>
      </c>
      <c r="G38" s="2">
        <v>12</v>
      </c>
      <c r="H38" s="2">
        <v>11</v>
      </c>
      <c r="J38">
        <f t="shared" si="0"/>
        <v>0</v>
      </c>
      <c r="K38">
        <f t="shared" si="1"/>
        <v>0</v>
      </c>
      <c r="L38">
        <f t="shared" si="2"/>
        <v>1</v>
      </c>
      <c r="M38">
        <f t="shared" si="3"/>
        <v>1</v>
      </c>
    </row>
    <row r="39" spans="5:13">
      <c r="E39">
        <v>38</v>
      </c>
      <c r="F39" s="2">
        <v>5</v>
      </c>
      <c r="G39" s="2">
        <v>18</v>
      </c>
      <c r="H39" s="2">
        <v>23</v>
      </c>
      <c r="J39">
        <f t="shared" si="0"/>
        <v>0</v>
      </c>
      <c r="K39">
        <f t="shared" si="1"/>
        <v>0</v>
      </c>
      <c r="L39">
        <f t="shared" si="2"/>
        <v>1</v>
      </c>
      <c r="M39">
        <f t="shared" si="3"/>
        <v>1</v>
      </c>
    </row>
    <row r="40" spans="5:13">
      <c r="E40">
        <v>39</v>
      </c>
      <c r="F40" s="2">
        <v>7</v>
      </c>
      <c r="G40" s="2">
        <v>20</v>
      </c>
      <c r="H40" s="2">
        <v>26</v>
      </c>
      <c r="J40">
        <f t="shared" si="0"/>
        <v>0</v>
      </c>
      <c r="K40">
        <f t="shared" si="1"/>
        <v>0</v>
      </c>
      <c r="L40">
        <f t="shared" si="2"/>
        <v>0</v>
      </c>
      <c r="M40">
        <f t="shared" si="3"/>
        <v>0</v>
      </c>
    </row>
    <row r="41" spans="5:13">
      <c r="E41">
        <v>40</v>
      </c>
      <c r="F41" s="2">
        <v>13</v>
      </c>
      <c r="G41" s="2">
        <v>21</v>
      </c>
      <c r="H41" s="2">
        <v>28</v>
      </c>
      <c r="J41">
        <f t="shared" si="0"/>
        <v>0</v>
      </c>
      <c r="K41">
        <f t="shared" si="1"/>
        <v>0</v>
      </c>
      <c r="L41">
        <f t="shared" si="2"/>
        <v>1</v>
      </c>
      <c r="M41">
        <f t="shared" si="3"/>
        <v>1</v>
      </c>
    </row>
    <row r="42" spans="5:13">
      <c r="E42">
        <v>41</v>
      </c>
      <c r="F42" s="2">
        <v>19</v>
      </c>
      <c r="G42" s="2">
        <v>22</v>
      </c>
      <c r="H42" s="2">
        <v>3</v>
      </c>
      <c r="J42">
        <f t="shared" si="0"/>
        <v>0</v>
      </c>
      <c r="K42">
        <f t="shared" si="1"/>
        <v>0</v>
      </c>
      <c r="L42">
        <f t="shared" si="2"/>
        <v>1</v>
      </c>
      <c r="M42">
        <f t="shared" si="3"/>
        <v>1</v>
      </c>
    </row>
    <row r="43" spans="5:13">
      <c r="E43">
        <v>42</v>
      </c>
      <c r="F43" s="2">
        <v>16</v>
      </c>
      <c r="G43" s="2">
        <v>24</v>
      </c>
      <c r="H43" s="2">
        <v>6</v>
      </c>
      <c r="J43">
        <f t="shared" si="0"/>
        <v>0</v>
      </c>
      <c r="K43">
        <f t="shared" si="1"/>
        <v>0</v>
      </c>
      <c r="L43">
        <f t="shared" si="2"/>
        <v>0</v>
      </c>
      <c r="M43">
        <f t="shared" si="3"/>
        <v>0</v>
      </c>
    </row>
    <row r="44" spans="5:13">
      <c r="E44">
        <v>43</v>
      </c>
      <c r="F44" s="2">
        <v>17</v>
      </c>
      <c r="G44" s="2">
        <v>25</v>
      </c>
      <c r="H44" s="2">
        <v>8</v>
      </c>
      <c r="J44">
        <f t="shared" si="0"/>
        <v>0</v>
      </c>
      <c r="K44">
        <f t="shared" si="1"/>
        <v>0</v>
      </c>
      <c r="L44">
        <f t="shared" si="2"/>
        <v>0</v>
      </c>
      <c r="M44">
        <f t="shared" si="3"/>
        <v>0</v>
      </c>
    </row>
    <row r="45" spans="5:13">
      <c r="E45">
        <v>44</v>
      </c>
      <c r="F45" s="2">
        <v>18</v>
      </c>
      <c r="G45" s="2">
        <v>20</v>
      </c>
      <c r="H45" s="2">
        <v>10</v>
      </c>
      <c r="J45">
        <f t="shared" si="0"/>
        <v>0</v>
      </c>
      <c r="K45">
        <f t="shared" si="1"/>
        <v>0</v>
      </c>
      <c r="L45">
        <f t="shared" si="2"/>
        <v>1</v>
      </c>
      <c r="M45">
        <f t="shared" si="3"/>
        <v>1</v>
      </c>
    </row>
    <row r="46" spans="5:13">
      <c r="E46">
        <v>45</v>
      </c>
      <c r="F46" s="2">
        <v>19</v>
      </c>
      <c r="G46" s="2">
        <v>2</v>
      </c>
      <c r="H46" s="2">
        <v>11</v>
      </c>
      <c r="J46">
        <f t="shared" si="0"/>
        <v>0</v>
      </c>
      <c r="K46">
        <f t="shared" si="1"/>
        <v>0</v>
      </c>
      <c r="L46">
        <f t="shared" si="2"/>
        <v>1</v>
      </c>
      <c r="M46">
        <f t="shared" si="3"/>
        <v>1</v>
      </c>
    </row>
    <row r="47" spans="5:13">
      <c r="E47">
        <v>46</v>
      </c>
      <c r="F47" s="2">
        <v>1</v>
      </c>
      <c r="G47" s="2">
        <v>2</v>
      </c>
      <c r="H47" s="2">
        <v>23</v>
      </c>
      <c r="J47">
        <f t="shared" si="0"/>
        <v>0</v>
      </c>
      <c r="K47">
        <f t="shared" si="1"/>
        <v>0</v>
      </c>
      <c r="L47">
        <f t="shared" si="2"/>
        <v>1</v>
      </c>
      <c r="M47">
        <f t="shared" si="3"/>
        <v>1</v>
      </c>
    </row>
    <row r="48" spans="5:13">
      <c r="E48">
        <v>47</v>
      </c>
      <c r="F48" s="2">
        <v>5</v>
      </c>
      <c r="G48" s="2">
        <v>9</v>
      </c>
      <c r="H48" s="2">
        <v>26</v>
      </c>
      <c r="J48">
        <f t="shared" si="0"/>
        <v>0</v>
      </c>
      <c r="K48">
        <f t="shared" si="1"/>
        <v>0</v>
      </c>
      <c r="L48">
        <f t="shared" si="2"/>
        <v>0</v>
      </c>
      <c r="M48">
        <f t="shared" si="3"/>
        <v>0</v>
      </c>
    </row>
    <row r="49" spans="5:13">
      <c r="E49">
        <v>48</v>
      </c>
      <c r="F49" s="2">
        <v>7</v>
      </c>
      <c r="G49" s="2">
        <v>12</v>
      </c>
      <c r="H49" s="2">
        <v>28</v>
      </c>
      <c r="J49">
        <f t="shared" si="0"/>
        <v>0</v>
      </c>
      <c r="K49">
        <f t="shared" si="1"/>
        <v>0</v>
      </c>
      <c r="L49">
        <f t="shared" si="2"/>
        <v>1</v>
      </c>
      <c r="M49">
        <f t="shared" si="3"/>
        <v>1</v>
      </c>
    </row>
    <row r="50" spans="5:13">
      <c r="E50">
        <v>49</v>
      </c>
      <c r="F50" s="2">
        <v>13</v>
      </c>
      <c r="G50" s="2">
        <v>16</v>
      </c>
      <c r="H50" s="2">
        <v>3</v>
      </c>
      <c r="J50">
        <f t="shared" si="0"/>
        <v>0</v>
      </c>
      <c r="K50">
        <f t="shared" si="1"/>
        <v>0</v>
      </c>
      <c r="L50">
        <f t="shared" si="2"/>
        <v>1</v>
      </c>
      <c r="M50">
        <f t="shared" si="3"/>
        <v>1</v>
      </c>
    </row>
    <row r="51" spans="5:13">
      <c r="E51">
        <v>50</v>
      </c>
      <c r="F51" s="2">
        <v>14</v>
      </c>
      <c r="G51" s="2">
        <v>20</v>
      </c>
      <c r="H51" s="2">
        <v>6</v>
      </c>
      <c r="J51">
        <f t="shared" si="0"/>
        <v>1</v>
      </c>
      <c r="K51">
        <f t="shared" si="1"/>
        <v>0</v>
      </c>
      <c r="L51">
        <f t="shared" si="2"/>
        <v>0</v>
      </c>
      <c r="M51">
        <f t="shared" si="3"/>
        <v>1</v>
      </c>
    </row>
    <row r="52" spans="5:13">
      <c r="E52">
        <v>51</v>
      </c>
      <c r="F52" s="2">
        <v>16</v>
      </c>
      <c r="G52" s="2">
        <v>21</v>
      </c>
      <c r="H52" s="2">
        <v>8</v>
      </c>
      <c r="J52">
        <f t="shared" si="0"/>
        <v>0</v>
      </c>
      <c r="K52">
        <f t="shared" si="1"/>
        <v>0</v>
      </c>
      <c r="L52">
        <f t="shared" si="2"/>
        <v>0</v>
      </c>
      <c r="M52">
        <f t="shared" si="3"/>
        <v>0</v>
      </c>
    </row>
    <row r="53" spans="5:13">
      <c r="E53">
        <v>52</v>
      </c>
      <c r="F53" s="2">
        <v>17</v>
      </c>
      <c r="G53" s="2">
        <v>22</v>
      </c>
      <c r="H53" s="2">
        <v>10</v>
      </c>
      <c r="J53">
        <f t="shared" si="0"/>
        <v>0</v>
      </c>
      <c r="K53">
        <f t="shared" si="1"/>
        <v>0</v>
      </c>
      <c r="L53">
        <f t="shared" si="2"/>
        <v>1</v>
      </c>
      <c r="M53">
        <f t="shared" si="3"/>
        <v>1</v>
      </c>
    </row>
    <row r="54" spans="5:13">
      <c r="E54">
        <v>53</v>
      </c>
      <c r="F54" s="2">
        <v>18</v>
      </c>
      <c r="G54" s="2">
        <v>24</v>
      </c>
      <c r="H54" s="2">
        <v>11</v>
      </c>
      <c r="J54">
        <f t="shared" si="0"/>
        <v>0</v>
      </c>
      <c r="K54">
        <f t="shared" si="1"/>
        <v>0</v>
      </c>
      <c r="L54">
        <f t="shared" si="2"/>
        <v>1</v>
      </c>
      <c r="M54">
        <f t="shared" si="3"/>
        <v>1</v>
      </c>
    </row>
    <row r="55" spans="5:13">
      <c r="E55">
        <v>54</v>
      </c>
      <c r="F55" s="2">
        <v>19</v>
      </c>
      <c r="G55" s="2">
        <v>25</v>
      </c>
      <c r="H55" s="2">
        <v>23</v>
      </c>
      <c r="J55">
        <f t="shared" si="0"/>
        <v>0</v>
      </c>
      <c r="K55">
        <f t="shared" si="1"/>
        <v>0</v>
      </c>
      <c r="L55">
        <f t="shared" si="2"/>
        <v>1</v>
      </c>
      <c r="M55">
        <f t="shared" si="3"/>
        <v>1</v>
      </c>
    </row>
    <row r="56" spans="5:13">
      <c r="E56">
        <v>55</v>
      </c>
      <c r="F56" s="2">
        <v>1</v>
      </c>
      <c r="G56" s="2">
        <v>27</v>
      </c>
      <c r="H56" s="2">
        <v>26</v>
      </c>
      <c r="J56">
        <f t="shared" si="0"/>
        <v>0</v>
      </c>
      <c r="K56">
        <f t="shared" si="1"/>
        <v>1</v>
      </c>
      <c r="L56">
        <f t="shared" si="2"/>
        <v>0</v>
      </c>
      <c r="M56">
        <f t="shared" si="3"/>
        <v>1</v>
      </c>
    </row>
    <row r="57" spans="5:13">
      <c r="E57">
        <v>56</v>
      </c>
      <c r="F57" s="2">
        <v>5</v>
      </c>
      <c r="G57" s="2">
        <v>2</v>
      </c>
      <c r="H57" s="2">
        <v>28</v>
      </c>
      <c r="J57">
        <f t="shared" si="0"/>
        <v>0</v>
      </c>
      <c r="K57">
        <f t="shared" si="1"/>
        <v>0</v>
      </c>
      <c r="L57">
        <f t="shared" si="2"/>
        <v>1</v>
      </c>
      <c r="M57">
        <f t="shared" si="3"/>
        <v>1</v>
      </c>
    </row>
    <row r="58" spans="5:13">
      <c r="E58">
        <v>57</v>
      </c>
      <c r="F58" s="2">
        <v>7</v>
      </c>
      <c r="G58" s="2">
        <v>2</v>
      </c>
      <c r="H58" s="2">
        <v>3</v>
      </c>
      <c r="J58">
        <f t="shared" si="0"/>
        <v>0</v>
      </c>
      <c r="K58">
        <f t="shared" si="1"/>
        <v>0</v>
      </c>
      <c r="L58">
        <f t="shared" si="2"/>
        <v>1</v>
      </c>
      <c r="M58">
        <f t="shared" si="3"/>
        <v>1</v>
      </c>
    </row>
    <row r="59" spans="5:13">
      <c r="E59">
        <v>58</v>
      </c>
      <c r="F59" s="2">
        <v>13</v>
      </c>
      <c r="G59" s="2">
        <v>9</v>
      </c>
      <c r="H59" s="2">
        <v>6</v>
      </c>
      <c r="J59">
        <f t="shared" si="0"/>
        <v>0</v>
      </c>
      <c r="K59">
        <f t="shared" si="1"/>
        <v>0</v>
      </c>
      <c r="L59">
        <f t="shared" si="2"/>
        <v>0</v>
      </c>
      <c r="M59">
        <f t="shared" si="3"/>
        <v>0</v>
      </c>
    </row>
    <row r="60" spans="5:13">
      <c r="E60">
        <v>59</v>
      </c>
      <c r="F60" s="2">
        <v>14</v>
      </c>
      <c r="G60" s="2">
        <v>12</v>
      </c>
      <c r="H60" s="2">
        <v>8</v>
      </c>
      <c r="J60">
        <f t="shared" si="0"/>
        <v>1</v>
      </c>
      <c r="K60">
        <f t="shared" si="1"/>
        <v>0</v>
      </c>
      <c r="L60">
        <f t="shared" si="2"/>
        <v>0</v>
      </c>
      <c r="M60">
        <f t="shared" si="3"/>
        <v>1</v>
      </c>
    </row>
    <row r="61" spans="5:13">
      <c r="E61">
        <v>60</v>
      </c>
      <c r="F61" s="2">
        <v>16</v>
      </c>
      <c r="G61" s="2">
        <v>12</v>
      </c>
      <c r="H61" s="2">
        <v>10</v>
      </c>
      <c r="J61">
        <f t="shared" si="0"/>
        <v>0</v>
      </c>
      <c r="K61">
        <f t="shared" si="1"/>
        <v>0</v>
      </c>
      <c r="L61">
        <f t="shared" si="2"/>
        <v>1</v>
      </c>
      <c r="M61">
        <f t="shared" si="3"/>
        <v>1</v>
      </c>
    </row>
    <row r="62" spans="5:13">
      <c r="E62">
        <v>61</v>
      </c>
      <c r="F62" s="2">
        <v>17</v>
      </c>
      <c r="G62" s="2">
        <v>20</v>
      </c>
      <c r="H62" s="2">
        <v>11</v>
      </c>
      <c r="J62">
        <f t="shared" si="0"/>
        <v>0</v>
      </c>
      <c r="K62">
        <f t="shared" si="1"/>
        <v>0</v>
      </c>
      <c r="L62">
        <f t="shared" si="2"/>
        <v>1</v>
      </c>
      <c r="M62">
        <f t="shared" si="3"/>
        <v>1</v>
      </c>
    </row>
    <row r="63" spans="5:13">
      <c r="E63">
        <v>62</v>
      </c>
      <c r="F63" s="2">
        <v>18</v>
      </c>
      <c r="G63" s="2">
        <v>21</v>
      </c>
      <c r="H63" s="2">
        <v>23</v>
      </c>
      <c r="J63">
        <f t="shared" si="0"/>
        <v>0</v>
      </c>
      <c r="K63">
        <f t="shared" si="1"/>
        <v>0</v>
      </c>
      <c r="L63">
        <f t="shared" si="2"/>
        <v>1</v>
      </c>
      <c r="M63">
        <f t="shared" si="3"/>
        <v>1</v>
      </c>
    </row>
    <row r="64" spans="5:13">
      <c r="E64">
        <v>63</v>
      </c>
      <c r="F64" s="2">
        <v>19</v>
      </c>
      <c r="G64" s="2">
        <v>22</v>
      </c>
      <c r="H64" s="2">
        <v>26</v>
      </c>
      <c r="J64">
        <f t="shared" si="0"/>
        <v>0</v>
      </c>
      <c r="K64">
        <f t="shared" si="1"/>
        <v>0</v>
      </c>
      <c r="L64">
        <f t="shared" si="2"/>
        <v>0</v>
      </c>
      <c r="M64">
        <f t="shared" si="3"/>
        <v>0</v>
      </c>
    </row>
    <row r="65" spans="5:13">
      <c r="E65">
        <v>64</v>
      </c>
      <c r="F65" s="2">
        <v>1</v>
      </c>
      <c r="G65" s="2">
        <v>24</v>
      </c>
      <c r="H65" s="2">
        <v>28</v>
      </c>
      <c r="J65">
        <f t="shared" si="0"/>
        <v>0</v>
      </c>
      <c r="K65">
        <f t="shared" si="1"/>
        <v>0</v>
      </c>
      <c r="L65">
        <f t="shared" si="2"/>
        <v>1</v>
      </c>
      <c r="M65">
        <f t="shared" si="3"/>
        <v>1</v>
      </c>
    </row>
    <row r="66" spans="5:13">
      <c r="E66">
        <v>65</v>
      </c>
      <c r="F66" s="2">
        <v>5</v>
      </c>
      <c r="G66" s="2">
        <v>25</v>
      </c>
      <c r="H66" s="2">
        <v>3</v>
      </c>
      <c r="J66">
        <f t="shared" si="0"/>
        <v>0</v>
      </c>
      <c r="K66">
        <f t="shared" si="1"/>
        <v>0</v>
      </c>
      <c r="L66">
        <f t="shared" si="2"/>
        <v>1</v>
      </c>
      <c r="M66">
        <f t="shared" si="3"/>
        <v>1</v>
      </c>
    </row>
    <row r="67" spans="5:13">
      <c r="E67">
        <v>66</v>
      </c>
      <c r="F67" s="2">
        <v>7</v>
      </c>
      <c r="G67" s="2">
        <v>27</v>
      </c>
      <c r="H67" s="2">
        <v>6</v>
      </c>
      <c r="J67">
        <f t="shared" ref="J67:J130" si="4">VLOOKUP(F67,$A:$B,2,FALSE)</f>
        <v>0</v>
      </c>
      <c r="K67">
        <f t="shared" ref="K67:K130" si="5">VLOOKUP(G67,$A:$B,2,FALSE)</f>
        <v>1</v>
      </c>
      <c r="L67">
        <f t="shared" ref="L67:L130" si="6">VLOOKUP(H67,$A:$B,2,FALSE)</f>
        <v>0</v>
      </c>
      <c r="M67">
        <f t="shared" ref="M67:M130" si="7">SUM(J67:L67)</f>
        <v>1</v>
      </c>
    </row>
    <row r="68" spans="5:13">
      <c r="E68">
        <v>67</v>
      </c>
      <c r="F68" s="2">
        <v>13</v>
      </c>
      <c r="G68" s="2">
        <v>2</v>
      </c>
      <c r="H68" s="2">
        <v>8</v>
      </c>
      <c r="J68">
        <f t="shared" si="4"/>
        <v>0</v>
      </c>
      <c r="K68">
        <f t="shared" si="5"/>
        <v>0</v>
      </c>
      <c r="L68">
        <f t="shared" si="6"/>
        <v>0</v>
      </c>
      <c r="M68">
        <f t="shared" si="7"/>
        <v>0</v>
      </c>
    </row>
    <row r="69" spans="5:13">
      <c r="E69">
        <v>68</v>
      </c>
      <c r="F69" s="2">
        <v>1</v>
      </c>
      <c r="G69" s="2">
        <v>9</v>
      </c>
      <c r="H69" s="2">
        <v>10</v>
      </c>
      <c r="J69">
        <f t="shared" si="4"/>
        <v>0</v>
      </c>
      <c r="K69">
        <f t="shared" si="5"/>
        <v>0</v>
      </c>
      <c r="L69">
        <f t="shared" si="6"/>
        <v>1</v>
      </c>
      <c r="M69">
        <f t="shared" si="7"/>
        <v>1</v>
      </c>
    </row>
    <row r="70" spans="5:13">
      <c r="E70">
        <v>69</v>
      </c>
      <c r="F70" s="2">
        <v>16</v>
      </c>
      <c r="G70" s="2">
        <v>9</v>
      </c>
      <c r="H70" s="2">
        <v>11</v>
      </c>
      <c r="J70">
        <f t="shared" si="4"/>
        <v>0</v>
      </c>
      <c r="K70">
        <f t="shared" si="5"/>
        <v>0</v>
      </c>
      <c r="L70">
        <f t="shared" si="6"/>
        <v>1</v>
      </c>
      <c r="M70">
        <f t="shared" si="7"/>
        <v>1</v>
      </c>
    </row>
    <row r="71" spans="5:13">
      <c r="E71">
        <v>70</v>
      </c>
      <c r="F71" s="2">
        <v>17</v>
      </c>
      <c r="G71" s="2">
        <v>12</v>
      </c>
      <c r="H71" s="2">
        <v>23</v>
      </c>
      <c r="J71">
        <f t="shared" si="4"/>
        <v>0</v>
      </c>
      <c r="K71">
        <f t="shared" si="5"/>
        <v>0</v>
      </c>
      <c r="L71">
        <f t="shared" si="6"/>
        <v>1</v>
      </c>
      <c r="M71">
        <f t="shared" si="7"/>
        <v>1</v>
      </c>
    </row>
    <row r="72" spans="5:13">
      <c r="E72">
        <v>71</v>
      </c>
      <c r="F72" s="2">
        <v>18</v>
      </c>
      <c r="G72" s="2">
        <v>15</v>
      </c>
      <c r="H72" s="2">
        <v>26</v>
      </c>
      <c r="J72">
        <f t="shared" si="4"/>
        <v>0</v>
      </c>
      <c r="K72">
        <f t="shared" si="5"/>
        <v>1</v>
      </c>
      <c r="L72">
        <f t="shared" si="6"/>
        <v>0</v>
      </c>
      <c r="M72">
        <f t="shared" si="7"/>
        <v>1</v>
      </c>
    </row>
    <row r="73" spans="5:13">
      <c r="E73">
        <v>72</v>
      </c>
      <c r="F73" s="2">
        <v>19</v>
      </c>
      <c r="G73" s="2">
        <v>20</v>
      </c>
      <c r="H73" s="2">
        <v>28</v>
      </c>
      <c r="J73">
        <f t="shared" si="4"/>
        <v>0</v>
      </c>
      <c r="K73">
        <f t="shared" si="5"/>
        <v>0</v>
      </c>
      <c r="L73">
        <f t="shared" si="6"/>
        <v>1</v>
      </c>
      <c r="M73">
        <f t="shared" si="7"/>
        <v>1</v>
      </c>
    </row>
    <row r="74" spans="5:13">
      <c r="E74">
        <v>73</v>
      </c>
      <c r="F74" s="2">
        <v>1</v>
      </c>
      <c r="G74" s="2">
        <v>21</v>
      </c>
      <c r="H74" s="2">
        <v>3</v>
      </c>
      <c r="J74">
        <f t="shared" si="4"/>
        <v>0</v>
      </c>
      <c r="K74">
        <f t="shared" si="5"/>
        <v>0</v>
      </c>
      <c r="L74">
        <f t="shared" si="6"/>
        <v>1</v>
      </c>
      <c r="M74">
        <f t="shared" si="7"/>
        <v>1</v>
      </c>
    </row>
    <row r="75" spans="5:13">
      <c r="E75">
        <v>74</v>
      </c>
      <c r="F75" s="2">
        <v>5</v>
      </c>
      <c r="G75" s="2">
        <v>22</v>
      </c>
      <c r="H75" s="2">
        <v>6</v>
      </c>
      <c r="J75">
        <f t="shared" si="4"/>
        <v>0</v>
      </c>
      <c r="K75">
        <f t="shared" si="5"/>
        <v>0</v>
      </c>
      <c r="L75">
        <f t="shared" si="6"/>
        <v>0</v>
      </c>
      <c r="M75">
        <f t="shared" si="7"/>
        <v>0</v>
      </c>
    </row>
    <row r="76" spans="5:13">
      <c r="E76">
        <v>75</v>
      </c>
      <c r="F76" s="2">
        <v>7</v>
      </c>
      <c r="G76" s="2">
        <v>24</v>
      </c>
      <c r="H76" s="2">
        <v>8</v>
      </c>
      <c r="J76">
        <f t="shared" si="4"/>
        <v>0</v>
      </c>
      <c r="K76">
        <f t="shared" si="5"/>
        <v>0</v>
      </c>
      <c r="L76">
        <f t="shared" si="6"/>
        <v>0</v>
      </c>
      <c r="M76">
        <f t="shared" si="7"/>
        <v>0</v>
      </c>
    </row>
    <row r="77" spans="5:13">
      <c r="E77">
        <v>76</v>
      </c>
      <c r="F77" s="2">
        <v>13</v>
      </c>
      <c r="G77" s="2">
        <v>25</v>
      </c>
      <c r="H77" s="2">
        <v>10</v>
      </c>
      <c r="J77">
        <f t="shared" si="4"/>
        <v>0</v>
      </c>
      <c r="K77">
        <f t="shared" si="5"/>
        <v>0</v>
      </c>
      <c r="L77">
        <f t="shared" si="6"/>
        <v>1</v>
      </c>
      <c r="M77">
        <f t="shared" si="7"/>
        <v>1</v>
      </c>
    </row>
    <row r="78" spans="5:13">
      <c r="E78">
        <v>77</v>
      </c>
      <c r="F78" s="2">
        <v>18</v>
      </c>
      <c r="G78" s="2">
        <v>25</v>
      </c>
      <c r="H78" s="2">
        <v>11</v>
      </c>
      <c r="J78">
        <f t="shared" si="4"/>
        <v>0</v>
      </c>
      <c r="K78">
        <f t="shared" si="5"/>
        <v>0</v>
      </c>
      <c r="L78">
        <f t="shared" si="6"/>
        <v>1</v>
      </c>
      <c r="M78">
        <f t="shared" si="7"/>
        <v>1</v>
      </c>
    </row>
    <row r="79" spans="5:13">
      <c r="E79">
        <v>78</v>
      </c>
      <c r="F79" s="2">
        <v>16</v>
      </c>
      <c r="G79" s="2">
        <v>2</v>
      </c>
      <c r="H79" s="2">
        <v>23</v>
      </c>
      <c r="J79">
        <f t="shared" si="4"/>
        <v>0</v>
      </c>
      <c r="K79">
        <f t="shared" si="5"/>
        <v>0</v>
      </c>
      <c r="L79">
        <f t="shared" si="6"/>
        <v>1</v>
      </c>
      <c r="M79">
        <f t="shared" si="7"/>
        <v>1</v>
      </c>
    </row>
    <row r="80" spans="5:13">
      <c r="E80">
        <v>79</v>
      </c>
      <c r="F80" s="2">
        <v>17</v>
      </c>
      <c r="G80" s="2">
        <v>4</v>
      </c>
      <c r="H80" s="2">
        <v>26</v>
      </c>
      <c r="J80">
        <f t="shared" si="4"/>
        <v>0</v>
      </c>
      <c r="K80">
        <f t="shared" si="5"/>
        <v>1</v>
      </c>
      <c r="L80">
        <f t="shared" si="6"/>
        <v>0</v>
      </c>
      <c r="M80">
        <f t="shared" si="7"/>
        <v>1</v>
      </c>
    </row>
    <row r="81" spans="5:13">
      <c r="E81">
        <v>80</v>
      </c>
      <c r="F81" s="2">
        <v>18</v>
      </c>
      <c r="G81" s="2">
        <v>9</v>
      </c>
      <c r="H81" s="2">
        <v>28</v>
      </c>
      <c r="J81">
        <f t="shared" si="4"/>
        <v>0</v>
      </c>
      <c r="K81">
        <f t="shared" si="5"/>
        <v>0</v>
      </c>
      <c r="L81">
        <f t="shared" si="6"/>
        <v>1</v>
      </c>
      <c r="M81">
        <f t="shared" si="7"/>
        <v>1</v>
      </c>
    </row>
    <row r="82" spans="5:13">
      <c r="E82">
        <v>81</v>
      </c>
      <c r="F82" s="2">
        <v>19</v>
      </c>
      <c r="G82" s="2">
        <v>12</v>
      </c>
      <c r="H82" s="2">
        <v>3</v>
      </c>
      <c r="J82">
        <f t="shared" si="4"/>
        <v>0</v>
      </c>
      <c r="K82">
        <f t="shared" si="5"/>
        <v>0</v>
      </c>
      <c r="L82">
        <f t="shared" si="6"/>
        <v>1</v>
      </c>
      <c r="M82">
        <f t="shared" si="7"/>
        <v>1</v>
      </c>
    </row>
    <row r="83" spans="5:13">
      <c r="E83">
        <v>82</v>
      </c>
      <c r="F83" s="2">
        <v>1</v>
      </c>
      <c r="G83" s="2">
        <v>15</v>
      </c>
      <c r="H83" s="2">
        <v>6</v>
      </c>
      <c r="J83">
        <f t="shared" si="4"/>
        <v>0</v>
      </c>
      <c r="K83">
        <f t="shared" si="5"/>
        <v>1</v>
      </c>
      <c r="L83">
        <f t="shared" si="6"/>
        <v>0</v>
      </c>
      <c r="M83">
        <f t="shared" si="7"/>
        <v>1</v>
      </c>
    </row>
    <row r="84" spans="5:13">
      <c r="E84">
        <v>83</v>
      </c>
      <c r="F84" s="2">
        <v>5</v>
      </c>
      <c r="G84" s="2">
        <v>20</v>
      </c>
      <c r="H84" s="2">
        <v>8</v>
      </c>
      <c r="J84">
        <f t="shared" si="4"/>
        <v>0</v>
      </c>
      <c r="K84">
        <f t="shared" si="5"/>
        <v>0</v>
      </c>
      <c r="L84">
        <f t="shared" si="6"/>
        <v>0</v>
      </c>
      <c r="M84">
        <f t="shared" si="7"/>
        <v>0</v>
      </c>
    </row>
    <row r="85" spans="5:13">
      <c r="E85">
        <v>84</v>
      </c>
      <c r="F85" s="2">
        <v>7</v>
      </c>
      <c r="G85" s="2">
        <v>21</v>
      </c>
      <c r="H85" s="2">
        <v>10</v>
      </c>
      <c r="J85">
        <f t="shared" si="4"/>
        <v>0</v>
      </c>
      <c r="K85">
        <f t="shared" si="5"/>
        <v>0</v>
      </c>
      <c r="L85">
        <f t="shared" si="6"/>
        <v>1</v>
      </c>
      <c r="M85">
        <f t="shared" si="7"/>
        <v>1</v>
      </c>
    </row>
    <row r="86" spans="5:13">
      <c r="E86">
        <v>85</v>
      </c>
      <c r="F86" s="2">
        <v>13</v>
      </c>
      <c r="G86" s="2">
        <v>22</v>
      </c>
      <c r="H86" s="2">
        <v>11</v>
      </c>
      <c r="J86">
        <f t="shared" si="4"/>
        <v>0</v>
      </c>
      <c r="K86">
        <f t="shared" si="5"/>
        <v>0</v>
      </c>
      <c r="L86">
        <f t="shared" si="6"/>
        <v>1</v>
      </c>
      <c r="M86">
        <f t="shared" si="7"/>
        <v>1</v>
      </c>
    </row>
    <row r="87" spans="5:13">
      <c r="E87">
        <v>86</v>
      </c>
      <c r="F87" s="2">
        <v>18</v>
      </c>
      <c r="G87" s="2">
        <v>24</v>
      </c>
      <c r="H87" s="2">
        <v>23</v>
      </c>
      <c r="J87">
        <f t="shared" si="4"/>
        <v>0</v>
      </c>
      <c r="K87">
        <f t="shared" si="5"/>
        <v>0</v>
      </c>
      <c r="L87">
        <f t="shared" si="6"/>
        <v>1</v>
      </c>
      <c r="M87">
        <f t="shared" si="7"/>
        <v>1</v>
      </c>
    </row>
    <row r="88" spans="5:13">
      <c r="E88">
        <v>87</v>
      </c>
      <c r="F88" s="2">
        <v>16</v>
      </c>
      <c r="G88" s="2">
        <v>25</v>
      </c>
      <c r="H88" s="2">
        <v>26</v>
      </c>
      <c r="J88">
        <f t="shared" si="4"/>
        <v>0</v>
      </c>
      <c r="K88">
        <f t="shared" si="5"/>
        <v>0</v>
      </c>
      <c r="L88">
        <f t="shared" si="6"/>
        <v>0</v>
      </c>
      <c r="M88">
        <f t="shared" si="7"/>
        <v>0</v>
      </c>
    </row>
    <row r="89" spans="5:13">
      <c r="E89">
        <v>88</v>
      </c>
      <c r="F89" s="2">
        <v>17</v>
      </c>
      <c r="G89" s="2">
        <v>25</v>
      </c>
      <c r="H89" s="2">
        <v>28</v>
      </c>
      <c r="J89">
        <f t="shared" si="4"/>
        <v>0</v>
      </c>
      <c r="K89">
        <f t="shared" si="5"/>
        <v>0</v>
      </c>
      <c r="L89">
        <f t="shared" si="6"/>
        <v>1</v>
      </c>
      <c r="M89">
        <f t="shared" si="7"/>
        <v>1</v>
      </c>
    </row>
    <row r="90" spans="5:13">
      <c r="E90">
        <v>89</v>
      </c>
      <c r="F90" s="2">
        <v>18</v>
      </c>
      <c r="G90" s="2">
        <v>2</v>
      </c>
      <c r="H90" s="2">
        <v>3</v>
      </c>
      <c r="J90">
        <f t="shared" si="4"/>
        <v>0</v>
      </c>
      <c r="K90">
        <f t="shared" si="5"/>
        <v>0</v>
      </c>
      <c r="L90">
        <f t="shared" si="6"/>
        <v>1</v>
      </c>
      <c r="M90">
        <f t="shared" si="7"/>
        <v>1</v>
      </c>
    </row>
    <row r="91" spans="5:13">
      <c r="E91">
        <v>90</v>
      </c>
      <c r="F91" s="2">
        <v>19</v>
      </c>
      <c r="G91" s="2">
        <v>4</v>
      </c>
      <c r="H91" s="2">
        <v>6</v>
      </c>
      <c r="J91">
        <f t="shared" si="4"/>
        <v>0</v>
      </c>
      <c r="K91">
        <f t="shared" si="5"/>
        <v>1</v>
      </c>
      <c r="L91">
        <f t="shared" si="6"/>
        <v>0</v>
      </c>
      <c r="M91">
        <f t="shared" si="7"/>
        <v>1</v>
      </c>
    </row>
    <row r="92" spans="5:13">
      <c r="E92">
        <v>91</v>
      </c>
      <c r="F92" s="2">
        <v>1</v>
      </c>
      <c r="G92" s="2">
        <v>9</v>
      </c>
      <c r="H92" s="2">
        <v>8</v>
      </c>
      <c r="J92">
        <f t="shared" si="4"/>
        <v>0</v>
      </c>
      <c r="K92">
        <f t="shared" si="5"/>
        <v>0</v>
      </c>
      <c r="L92">
        <f t="shared" si="6"/>
        <v>0</v>
      </c>
      <c r="M92">
        <f t="shared" si="7"/>
        <v>0</v>
      </c>
    </row>
    <row r="93" spans="5:13">
      <c r="E93">
        <v>92</v>
      </c>
      <c r="F93" s="2">
        <v>5</v>
      </c>
      <c r="G93" s="2">
        <v>12</v>
      </c>
      <c r="H93" s="2">
        <v>10</v>
      </c>
      <c r="J93">
        <f t="shared" si="4"/>
        <v>0</v>
      </c>
      <c r="K93">
        <f t="shared" si="5"/>
        <v>0</v>
      </c>
      <c r="L93">
        <f t="shared" si="6"/>
        <v>1</v>
      </c>
      <c r="M93">
        <f t="shared" si="7"/>
        <v>1</v>
      </c>
    </row>
    <row r="94" spans="5:13">
      <c r="E94">
        <v>93</v>
      </c>
      <c r="F94" s="2">
        <v>7</v>
      </c>
      <c r="G94" s="2">
        <v>9</v>
      </c>
      <c r="H94" s="2">
        <v>11</v>
      </c>
      <c r="J94">
        <f t="shared" si="4"/>
        <v>0</v>
      </c>
      <c r="K94">
        <f t="shared" si="5"/>
        <v>0</v>
      </c>
      <c r="L94">
        <f t="shared" si="6"/>
        <v>1</v>
      </c>
      <c r="M94">
        <f t="shared" si="7"/>
        <v>1</v>
      </c>
    </row>
    <row r="95" spans="5:13">
      <c r="E95">
        <v>94</v>
      </c>
      <c r="F95" s="2">
        <v>13</v>
      </c>
      <c r="G95" s="2">
        <v>20</v>
      </c>
      <c r="H95" s="2">
        <v>23</v>
      </c>
      <c r="J95">
        <f t="shared" si="4"/>
        <v>0</v>
      </c>
      <c r="K95">
        <f t="shared" si="5"/>
        <v>0</v>
      </c>
      <c r="L95">
        <f t="shared" si="6"/>
        <v>1</v>
      </c>
      <c r="M95">
        <f t="shared" si="7"/>
        <v>1</v>
      </c>
    </row>
    <row r="96" spans="5:13">
      <c r="E96">
        <v>95</v>
      </c>
      <c r="F96" s="2">
        <v>14</v>
      </c>
      <c r="G96" s="2">
        <v>21</v>
      </c>
      <c r="H96" s="2">
        <v>26</v>
      </c>
      <c r="J96">
        <f t="shared" si="4"/>
        <v>1</v>
      </c>
      <c r="K96">
        <f t="shared" si="5"/>
        <v>0</v>
      </c>
      <c r="L96">
        <f t="shared" si="6"/>
        <v>0</v>
      </c>
      <c r="M96">
        <f t="shared" si="7"/>
        <v>1</v>
      </c>
    </row>
    <row r="97" spans="5:13">
      <c r="E97">
        <v>96</v>
      </c>
      <c r="F97" s="2">
        <v>16</v>
      </c>
      <c r="G97" s="2">
        <v>22</v>
      </c>
      <c r="H97" s="2">
        <v>28</v>
      </c>
      <c r="J97">
        <f t="shared" si="4"/>
        <v>0</v>
      </c>
      <c r="K97">
        <f t="shared" si="5"/>
        <v>0</v>
      </c>
      <c r="L97">
        <f t="shared" si="6"/>
        <v>1</v>
      </c>
      <c r="M97">
        <f t="shared" si="7"/>
        <v>1</v>
      </c>
    </row>
    <row r="98" spans="5:13">
      <c r="E98">
        <v>97</v>
      </c>
      <c r="F98" s="2">
        <v>17</v>
      </c>
      <c r="G98" s="2">
        <v>24</v>
      </c>
      <c r="H98" s="2">
        <v>3</v>
      </c>
      <c r="J98">
        <f t="shared" si="4"/>
        <v>0</v>
      </c>
      <c r="K98">
        <f t="shared" si="5"/>
        <v>0</v>
      </c>
      <c r="L98">
        <f t="shared" si="6"/>
        <v>1</v>
      </c>
      <c r="M98">
        <f t="shared" si="7"/>
        <v>1</v>
      </c>
    </row>
    <row r="99" spans="5:13">
      <c r="E99">
        <v>98</v>
      </c>
      <c r="F99" s="2">
        <v>18</v>
      </c>
      <c r="G99" s="2">
        <v>25</v>
      </c>
      <c r="H99" s="2">
        <v>6</v>
      </c>
      <c r="J99">
        <f t="shared" si="4"/>
        <v>0</v>
      </c>
      <c r="K99">
        <f t="shared" si="5"/>
        <v>0</v>
      </c>
      <c r="L99">
        <f t="shared" si="6"/>
        <v>0</v>
      </c>
      <c r="M99">
        <f t="shared" si="7"/>
        <v>0</v>
      </c>
    </row>
    <row r="100" spans="5:13">
      <c r="E100">
        <v>99</v>
      </c>
      <c r="F100" s="2">
        <v>19</v>
      </c>
      <c r="G100" s="2">
        <v>27</v>
      </c>
      <c r="H100" s="2">
        <v>8</v>
      </c>
      <c r="J100">
        <f t="shared" si="4"/>
        <v>0</v>
      </c>
      <c r="K100">
        <f t="shared" si="5"/>
        <v>1</v>
      </c>
      <c r="L100">
        <f t="shared" si="6"/>
        <v>0</v>
      </c>
      <c r="M100">
        <f t="shared" si="7"/>
        <v>1</v>
      </c>
    </row>
    <row r="101" spans="5:13">
      <c r="E101">
        <v>100</v>
      </c>
      <c r="F101" s="2">
        <v>1</v>
      </c>
      <c r="G101" s="2">
        <v>2</v>
      </c>
      <c r="H101" s="2">
        <v>10</v>
      </c>
      <c r="J101">
        <f t="shared" si="4"/>
        <v>0</v>
      </c>
      <c r="K101">
        <f t="shared" si="5"/>
        <v>0</v>
      </c>
      <c r="L101">
        <f t="shared" si="6"/>
        <v>1</v>
      </c>
      <c r="M101">
        <f t="shared" si="7"/>
        <v>1</v>
      </c>
    </row>
    <row r="102" spans="5:13">
      <c r="E102">
        <v>101</v>
      </c>
      <c r="F102" s="2">
        <v>5</v>
      </c>
      <c r="G102" s="2">
        <v>5</v>
      </c>
      <c r="H102" s="2">
        <v>11</v>
      </c>
      <c r="J102">
        <f t="shared" si="4"/>
        <v>0</v>
      </c>
      <c r="K102">
        <f t="shared" si="5"/>
        <v>0</v>
      </c>
      <c r="L102">
        <f t="shared" si="6"/>
        <v>1</v>
      </c>
      <c r="M102">
        <f t="shared" si="7"/>
        <v>1</v>
      </c>
    </row>
    <row r="103" spans="5:13">
      <c r="E103">
        <v>102</v>
      </c>
      <c r="F103" s="2">
        <v>7</v>
      </c>
      <c r="G103" s="2">
        <v>9</v>
      </c>
      <c r="H103" s="2">
        <v>23</v>
      </c>
      <c r="J103">
        <f t="shared" si="4"/>
        <v>0</v>
      </c>
      <c r="K103">
        <f t="shared" si="5"/>
        <v>0</v>
      </c>
      <c r="L103">
        <f t="shared" si="6"/>
        <v>1</v>
      </c>
      <c r="M103">
        <f t="shared" si="7"/>
        <v>1</v>
      </c>
    </row>
    <row r="104" spans="5:13">
      <c r="E104">
        <v>103</v>
      </c>
      <c r="F104" s="2">
        <v>13</v>
      </c>
      <c r="G104" s="2">
        <v>12</v>
      </c>
      <c r="H104" s="2">
        <v>26</v>
      </c>
      <c r="J104">
        <f t="shared" si="4"/>
        <v>0</v>
      </c>
      <c r="K104">
        <f t="shared" si="5"/>
        <v>0</v>
      </c>
      <c r="L104">
        <f t="shared" si="6"/>
        <v>0</v>
      </c>
      <c r="M104">
        <f t="shared" si="7"/>
        <v>0</v>
      </c>
    </row>
    <row r="105" spans="5:13">
      <c r="E105">
        <v>104</v>
      </c>
      <c r="F105" s="2">
        <v>18</v>
      </c>
      <c r="G105" s="2">
        <v>9</v>
      </c>
      <c r="H105" s="2">
        <v>28</v>
      </c>
      <c r="J105">
        <f t="shared" si="4"/>
        <v>0</v>
      </c>
      <c r="K105">
        <f t="shared" si="5"/>
        <v>0</v>
      </c>
      <c r="L105">
        <f t="shared" si="6"/>
        <v>1</v>
      </c>
      <c r="M105">
        <f t="shared" si="7"/>
        <v>1</v>
      </c>
    </row>
    <row r="106" spans="5:13">
      <c r="E106">
        <v>105</v>
      </c>
      <c r="F106" s="2">
        <v>16</v>
      </c>
      <c r="G106" s="2">
        <v>20</v>
      </c>
      <c r="H106" s="2">
        <v>3</v>
      </c>
      <c r="J106">
        <f t="shared" si="4"/>
        <v>0</v>
      </c>
      <c r="K106">
        <f t="shared" si="5"/>
        <v>0</v>
      </c>
      <c r="L106">
        <f t="shared" si="6"/>
        <v>1</v>
      </c>
      <c r="M106">
        <f t="shared" si="7"/>
        <v>1</v>
      </c>
    </row>
    <row r="107" spans="5:13">
      <c r="E107">
        <v>106</v>
      </c>
      <c r="F107" s="2">
        <v>17</v>
      </c>
      <c r="G107" s="2">
        <v>21</v>
      </c>
      <c r="H107" s="2">
        <v>6</v>
      </c>
      <c r="J107">
        <f t="shared" si="4"/>
        <v>0</v>
      </c>
      <c r="K107">
        <f t="shared" si="5"/>
        <v>0</v>
      </c>
      <c r="L107">
        <f t="shared" si="6"/>
        <v>0</v>
      </c>
      <c r="M107">
        <f t="shared" si="7"/>
        <v>0</v>
      </c>
    </row>
    <row r="108" spans="5:13">
      <c r="E108">
        <v>107</v>
      </c>
      <c r="F108" s="2">
        <v>18</v>
      </c>
      <c r="G108" s="2">
        <v>22</v>
      </c>
      <c r="H108" s="2">
        <v>8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</row>
    <row r="109" spans="5:13">
      <c r="E109">
        <v>108</v>
      </c>
      <c r="F109" s="2">
        <v>19</v>
      </c>
      <c r="G109" s="2">
        <v>24</v>
      </c>
      <c r="H109" s="2">
        <v>10</v>
      </c>
      <c r="J109">
        <f t="shared" si="4"/>
        <v>0</v>
      </c>
      <c r="K109">
        <f t="shared" si="5"/>
        <v>0</v>
      </c>
      <c r="L109">
        <f t="shared" si="6"/>
        <v>1</v>
      </c>
      <c r="M109">
        <f t="shared" si="7"/>
        <v>1</v>
      </c>
    </row>
    <row r="110" spans="5:13">
      <c r="E110">
        <v>109</v>
      </c>
      <c r="F110" s="2">
        <v>1</v>
      </c>
      <c r="G110" s="2">
        <v>25</v>
      </c>
      <c r="H110" s="2">
        <v>11</v>
      </c>
      <c r="J110">
        <f t="shared" si="4"/>
        <v>0</v>
      </c>
      <c r="K110">
        <f t="shared" si="5"/>
        <v>0</v>
      </c>
      <c r="L110">
        <f t="shared" si="6"/>
        <v>1</v>
      </c>
      <c r="M110">
        <f t="shared" si="7"/>
        <v>1</v>
      </c>
    </row>
    <row r="111" spans="5:13">
      <c r="E111">
        <v>110</v>
      </c>
      <c r="F111" s="2">
        <v>5</v>
      </c>
      <c r="G111" s="2">
        <v>25</v>
      </c>
      <c r="H111" s="2">
        <v>23</v>
      </c>
      <c r="J111">
        <f t="shared" si="4"/>
        <v>0</v>
      </c>
      <c r="K111">
        <f t="shared" si="5"/>
        <v>0</v>
      </c>
      <c r="L111">
        <f t="shared" si="6"/>
        <v>1</v>
      </c>
      <c r="M111">
        <f t="shared" si="7"/>
        <v>1</v>
      </c>
    </row>
    <row r="112" spans="5:13">
      <c r="E112">
        <v>111</v>
      </c>
      <c r="F112" s="2">
        <v>7</v>
      </c>
      <c r="G112" s="2">
        <v>2</v>
      </c>
      <c r="H112" s="2">
        <v>26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</row>
    <row r="113" spans="5:13">
      <c r="E113">
        <v>112</v>
      </c>
      <c r="F113" s="2">
        <v>13</v>
      </c>
      <c r="G113" s="2">
        <v>5</v>
      </c>
      <c r="H113" s="2">
        <v>28</v>
      </c>
      <c r="J113">
        <f t="shared" si="4"/>
        <v>0</v>
      </c>
      <c r="K113">
        <f t="shared" si="5"/>
        <v>0</v>
      </c>
      <c r="L113">
        <f t="shared" si="6"/>
        <v>1</v>
      </c>
      <c r="M113">
        <f t="shared" si="7"/>
        <v>1</v>
      </c>
    </row>
    <row r="114" spans="5:13">
      <c r="E114">
        <v>113</v>
      </c>
      <c r="F114" s="2">
        <v>18</v>
      </c>
      <c r="G114" s="2">
        <v>9</v>
      </c>
      <c r="H114" s="2">
        <v>3</v>
      </c>
      <c r="J114">
        <f t="shared" si="4"/>
        <v>0</v>
      </c>
      <c r="K114">
        <f t="shared" si="5"/>
        <v>0</v>
      </c>
      <c r="L114">
        <f t="shared" si="6"/>
        <v>1</v>
      </c>
      <c r="M114">
        <f t="shared" si="7"/>
        <v>1</v>
      </c>
    </row>
    <row r="115" spans="5:13">
      <c r="E115">
        <v>114</v>
      </c>
      <c r="F115" s="2">
        <v>16</v>
      </c>
      <c r="G115" s="2">
        <v>12</v>
      </c>
      <c r="H115" s="2">
        <v>6</v>
      </c>
      <c r="J115">
        <f t="shared" si="4"/>
        <v>0</v>
      </c>
      <c r="K115">
        <f t="shared" si="5"/>
        <v>0</v>
      </c>
      <c r="L115">
        <f t="shared" si="6"/>
        <v>0</v>
      </c>
      <c r="M115">
        <f t="shared" si="7"/>
        <v>0</v>
      </c>
    </row>
    <row r="116" spans="5:13">
      <c r="E116">
        <v>115</v>
      </c>
      <c r="F116" s="2">
        <v>17</v>
      </c>
      <c r="G116" s="2">
        <v>15</v>
      </c>
      <c r="H116" s="2">
        <v>8</v>
      </c>
      <c r="J116">
        <f t="shared" si="4"/>
        <v>0</v>
      </c>
      <c r="K116">
        <f t="shared" si="5"/>
        <v>1</v>
      </c>
      <c r="L116">
        <f t="shared" si="6"/>
        <v>0</v>
      </c>
      <c r="M116">
        <f t="shared" si="7"/>
        <v>1</v>
      </c>
    </row>
    <row r="117" spans="5:13">
      <c r="E117">
        <v>116</v>
      </c>
      <c r="F117" s="2">
        <v>18</v>
      </c>
      <c r="G117" s="2">
        <v>20</v>
      </c>
      <c r="H117" s="2">
        <v>10</v>
      </c>
      <c r="J117">
        <f t="shared" si="4"/>
        <v>0</v>
      </c>
      <c r="K117">
        <f t="shared" si="5"/>
        <v>0</v>
      </c>
      <c r="L117">
        <f t="shared" si="6"/>
        <v>1</v>
      </c>
      <c r="M117">
        <f t="shared" si="7"/>
        <v>1</v>
      </c>
    </row>
    <row r="118" spans="5:13">
      <c r="E118">
        <v>117</v>
      </c>
      <c r="F118" s="2">
        <v>19</v>
      </c>
      <c r="G118" s="2">
        <v>21</v>
      </c>
      <c r="H118" s="2">
        <v>11</v>
      </c>
      <c r="J118">
        <f t="shared" si="4"/>
        <v>0</v>
      </c>
      <c r="K118">
        <f t="shared" si="5"/>
        <v>0</v>
      </c>
      <c r="L118">
        <f t="shared" si="6"/>
        <v>1</v>
      </c>
      <c r="M118">
        <f t="shared" si="7"/>
        <v>1</v>
      </c>
    </row>
    <row r="119" spans="5:13">
      <c r="E119">
        <v>118</v>
      </c>
      <c r="F119" s="2">
        <v>1</v>
      </c>
      <c r="G119" s="2">
        <v>22</v>
      </c>
      <c r="H119" s="2">
        <v>23</v>
      </c>
      <c r="J119">
        <f t="shared" si="4"/>
        <v>0</v>
      </c>
      <c r="K119">
        <f t="shared" si="5"/>
        <v>0</v>
      </c>
      <c r="L119">
        <f t="shared" si="6"/>
        <v>1</v>
      </c>
      <c r="M119">
        <f t="shared" si="7"/>
        <v>1</v>
      </c>
    </row>
    <row r="120" spans="5:13">
      <c r="E120">
        <v>119</v>
      </c>
      <c r="F120" s="2">
        <v>5</v>
      </c>
      <c r="G120" s="2">
        <v>24</v>
      </c>
      <c r="H120" s="2">
        <v>26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</row>
    <row r="121" spans="5:13">
      <c r="E121">
        <v>120</v>
      </c>
      <c r="F121" s="2">
        <v>7</v>
      </c>
      <c r="G121" s="2">
        <v>25</v>
      </c>
      <c r="H121" s="2">
        <v>28</v>
      </c>
      <c r="J121">
        <f t="shared" si="4"/>
        <v>0</v>
      </c>
      <c r="K121">
        <f t="shared" si="5"/>
        <v>0</v>
      </c>
      <c r="L121">
        <f t="shared" si="6"/>
        <v>1</v>
      </c>
      <c r="M121">
        <f t="shared" si="7"/>
        <v>1</v>
      </c>
    </row>
    <row r="122" spans="5:13">
      <c r="E122">
        <v>121</v>
      </c>
      <c r="F122" s="2">
        <v>13</v>
      </c>
      <c r="G122" s="2">
        <v>25</v>
      </c>
      <c r="H122" s="2">
        <v>3</v>
      </c>
      <c r="J122">
        <f t="shared" si="4"/>
        <v>0</v>
      </c>
      <c r="K122">
        <f t="shared" si="5"/>
        <v>0</v>
      </c>
      <c r="L122">
        <f t="shared" si="6"/>
        <v>1</v>
      </c>
      <c r="M122">
        <f t="shared" si="7"/>
        <v>1</v>
      </c>
    </row>
    <row r="123" spans="5:13">
      <c r="E123">
        <v>122</v>
      </c>
      <c r="F123" s="2">
        <v>14</v>
      </c>
      <c r="G123" s="2">
        <v>2</v>
      </c>
      <c r="H123" s="2">
        <v>6</v>
      </c>
      <c r="J123">
        <f t="shared" si="4"/>
        <v>1</v>
      </c>
      <c r="K123">
        <f t="shared" si="5"/>
        <v>0</v>
      </c>
      <c r="L123">
        <f t="shared" si="6"/>
        <v>0</v>
      </c>
      <c r="M123">
        <f t="shared" si="7"/>
        <v>1</v>
      </c>
    </row>
    <row r="124" spans="5:13">
      <c r="E124">
        <v>123</v>
      </c>
      <c r="F124" s="2">
        <v>16</v>
      </c>
      <c r="G124" s="2">
        <v>4</v>
      </c>
      <c r="H124" s="2">
        <v>8</v>
      </c>
      <c r="J124">
        <f t="shared" si="4"/>
        <v>0</v>
      </c>
      <c r="K124">
        <f t="shared" si="5"/>
        <v>1</v>
      </c>
      <c r="L124">
        <f t="shared" si="6"/>
        <v>0</v>
      </c>
      <c r="M124">
        <f t="shared" si="7"/>
        <v>1</v>
      </c>
    </row>
    <row r="125" spans="5:13">
      <c r="E125">
        <v>124</v>
      </c>
      <c r="F125" s="2">
        <v>17</v>
      </c>
      <c r="G125" s="2">
        <v>9</v>
      </c>
      <c r="H125" s="2">
        <v>10</v>
      </c>
      <c r="J125">
        <f t="shared" si="4"/>
        <v>0</v>
      </c>
      <c r="K125">
        <f t="shared" si="5"/>
        <v>0</v>
      </c>
      <c r="L125">
        <f t="shared" si="6"/>
        <v>1</v>
      </c>
      <c r="M125">
        <f t="shared" si="7"/>
        <v>1</v>
      </c>
    </row>
    <row r="126" spans="5:13">
      <c r="E126">
        <v>125</v>
      </c>
      <c r="F126" s="2">
        <v>18</v>
      </c>
      <c r="G126" s="2">
        <v>12</v>
      </c>
      <c r="H126" s="2">
        <v>11</v>
      </c>
      <c r="J126">
        <f t="shared" si="4"/>
        <v>0</v>
      </c>
      <c r="K126">
        <f t="shared" si="5"/>
        <v>0</v>
      </c>
      <c r="L126">
        <f t="shared" si="6"/>
        <v>1</v>
      </c>
      <c r="M126">
        <f t="shared" si="7"/>
        <v>1</v>
      </c>
    </row>
    <row r="127" spans="5:13">
      <c r="E127">
        <v>126</v>
      </c>
      <c r="F127" s="2">
        <v>19</v>
      </c>
      <c r="G127" s="2">
        <v>9</v>
      </c>
      <c r="H127" s="2">
        <v>23</v>
      </c>
      <c r="J127">
        <f t="shared" si="4"/>
        <v>0</v>
      </c>
      <c r="K127">
        <f t="shared" si="5"/>
        <v>0</v>
      </c>
      <c r="L127">
        <f t="shared" si="6"/>
        <v>1</v>
      </c>
      <c r="M127">
        <f t="shared" si="7"/>
        <v>1</v>
      </c>
    </row>
    <row r="128" spans="5:13">
      <c r="E128">
        <v>127</v>
      </c>
      <c r="F128" s="2">
        <v>1</v>
      </c>
      <c r="G128" s="2">
        <v>20</v>
      </c>
      <c r="H128" s="2">
        <v>26</v>
      </c>
      <c r="J128">
        <f t="shared" si="4"/>
        <v>0</v>
      </c>
      <c r="K128">
        <f t="shared" si="5"/>
        <v>0</v>
      </c>
      <c r="L128">
        <f t="shared" si="6"/>
        <v>0</v>
      </c>
      <c r="M128">
        <f t="shared" si="7"/>
        <v>0</v>
      </c>
    </row>
    <row r="129" spans="5:13">
      <c r="E129">
        <v>128</v>
      </c>
      <c r="F129" s="2">
        <v>5</v>
      </c>
      <c r="G129" s="2">
        <v>21</v>
      </c>
      <c r="H129" s="2">
        <v>28</v>
      </c>
      <c r="J129">
        <f t="shared" si="4"/>
        <v>0</v>
      </c>
      <c r="K129">
        <f t="shared" si="5"/>
        <v>0</v>
      </c>
      <c r="L129">
        <f t="shared" si="6"/>
        <v>1</v>
      </c>
      <c r="M129">
        <f t="shared" si="7"/>
        <v>1</v>
      </c>
    </row>
    <row r="130" spans="5:13">
      <c r="E130">
        <v>129</v>
      </c>
      <c r="F130" s="2">
        <v>7</v>
      </c>
      <c r="G130" s="2">
        <v>22</v>
      </c>
      <c r="H130" s="2">
        <v>3</v>
      </c>
      <c r="J130">
        <f t="shared" si="4"/>
        <v>0</v>
      </c>
      <c r="K130">
        <f t="shared" si="5"/>
        <v>0</v>
      </c>
      <c r="L130">
        <f t="shared" si="6"/>
        <v>1</v>
      </c>
      <c r="M130">
        <f t="shared" si="7"/>
        <v>1</v>
      </c>
    </row>
    <row r="131" spans="5:13">
      <c r="E131">
        <v>130</v>
      </c>
      <c r="F131" s="2">
        <v>13</v>
      </c>
      <c r="G131" s="2">
        <v>24</v>
      </c>
      <c r="H131" s="2">
        <v>6</v>
      </c>
      <c r="J131">
        <f t="shared" ref="J131:J194" si="8">VLOOKUP(F131,$A:$B,2,FALSE)</f>
        <v>0</v>
      </c>
      <c r="K131">
        <f t="shared" ref="K131:K194" si="9">VLOOKUP(G131,$A:$B,2,FALSE)</f>
        <v>0</v>
      </c>
      <c r="L131">
        <f t="shared" ref="L131:L194" si="10">VLOOKUP(H131,$A:$B,2,FALSE)</f>
        <v>0</v>
      </c>
      <c r="M131">
        <f t="shared" ref="M131:M194" si="11">SUM(J131:L131)</f>
        <v>0</v>
      </c>
    </row>
    <row r="132" spans="5:13">
      <c r="E132">
        <v>131</v>
      </c>
      <c r="F132" s="2">
        <v>14</v>
      </c>
      <c r="G132" s="2">
        <v>25</v>
      </c>
      <c r="H132" s="2">
        <v>8</v>
      </c>
      <c r="J132">
        <f t="shared" si="8"/>
        <v>1</v>
      </c>
      <c r="K132">
        <f t="shared" si="9"/>
        <v>0</v>
      </c>
      <c r="L132">
        <f t="shared" si="10"/>
        <v>0</v>
      </c>
      <c r="M132">
        <f t="shared" si="11"/>
        <v>1</v>
      </c>
    </row>
    <row r="133" spans="5:13">
      <c r="E133">
        <v>132</v>
      </c>
      <c r="F133" s="2">
        <v>16</v>
      </c>
      <c r="G133" s="2">
        <v>25</v>
      </c>
      <c r="H133" s="2">
        <v>10</v>
      </c>
      <c r="J133">
        <f t="shared" si="8"/>
        <v>0</v>
      </c>
      <c r="K133">
        <f t="shared" si="9"/>
        <v>0</v>
      </c>
      <c r="L133">
        <f t="shared" si="10"/>
        <v>1</v>
      </c>
      <c r="M133">
        <f t="shared" si="11"/>
        <v>1</v>
      </c>
    </row>
    <row r="134" spans="5:13">
      <c r="E134">
        <v>133</v>
      </c>
      <c r="F134" s="2">
        <v>17</v>
      </c>
      <c r="G134" s="2">
        <v>2</v>
      </c>
      <c r="H134" s="2">
        <v>11</v>
      </c>
      <c r="J134">
        <f t="shared" si="8"/>
        <v>0</v>
      </c>
      <c r="K134">
        <f t="shared" si="9"/>
        <v>0</v>
      </c>
      <c r="L134">
        <f t="shared" si="10"/>
        <v>1</v>
      </c>
      <c r="M134">
        <f t="shared" si="11"/>
        <v>1</v>
      </c>
    </row>
    <row r="135" spans="5:13">
      <c r="E135">
        <v>134</v>
      </c>
      <c r="F135" s="2">
        <v>18</v>
      </c>
      <c r="G135" s="2">
        <v>5</v>
      </c>
      <c r="H135" s="2">
        <v>23</v>
      </c>
      <c r="J135">
        <f t="shared" si="8"/>
        <v>0</v>
      </c>
      <c r="K135">
        <f t="shared" si="9"/>
        <v>0</v>
      </c>
      <c r="L135">
        <f t="shared" si="10"/>
        <v>1</v>
      </c>
      <c r="M135">
        <f t="shared" si="11"/>
        <v>1</v>
      </c>
    </row>
    <row r="136" spans="5:13">
      <c r="E136">
        <v>135</v>
      </c>
      <c r="F136" s="2">
        <v>19</v>
      </c>
      <c r="G136" s="2">
        <v>9</v>
      </c>
      <c r="H136" s="2">
        <v>26</v>
      </c>
      <c r="J136">
        <f t="shared" si="8"/>
        <v>0</v>
      </c>
      <c r="K136">
        <f t="shared" si="9"/>
        <v>0</v>
      </c>
      <c r="L136">
        <f t="shared" si="10"/>
        <v>0</v>
      </c>
      <c r="M136">
        <f t="shared" si="11"/>
        <v>0</v>
      </c>
    </row>
    <row r="137" spans="5:13">
      <c r="E137">
        <v>136</v>
      </c>
      <c r="F137" s="2">
        <v>1</v>
      </c>
      <c r="G137" s="2">
        <v>12</v>
      </c>
      <c r="H137" s="2">
        <v>28</v>
      </c>
      <c r="J137">
        <f t="shared" si="8"/>
        <v>0</v>
      </c>
      <c r="K137">
        <f t="shared" si="9"/>
        <v>0</v>
      </c>
      <c r="L137">
        <f t="shared" si="10"/>
        <v>1</v>
      </c>
      <c r="M137">
        <f t="shared" si="11"/>
        <v>1</v>
      </c>
    </row>
    <row r="138" spans="5:13">
      <c r="E138">
        <v>137</v>
      </c>
      <c r="F138" s="2">
        <v>5</v>
      </c>
      <c r="G138" s="2">
        <v>9</v>
      </c>
      <c r="H138" s="2">
        <v>3</v>
      </c>
      <c r="J138">
        <f t="shared" si="8"/>
        <v>0</v>
      </c>
      <c r="K138">
        <f t="shared" si="9"/>
        <v>0</v>
      </c>
      <c r="L138">
        <f t="shared" si="10"/>
        <v>1</v>
      </c>
      <c r="M138">
        <f t="shared" si="11"/>
        <v>1</v>
      </c>
    </row>
    <row r="139" spans="5:13">
      <c r="E139">
        <v>138</v>
      </c>
      <c r="F139" s="2">
        <v>7</v>
      </c>
      <c r="G139" s="2">
        <v>20</v>
      </c>
      <c r="H139" s="2">
        <v>6</v>
      </c>
      <c r="J139">
        <f t="shared" si="8"/>
        <v>0</v>
      </c>
      <c r="K139">
        <f t="shared" si="9"/>
        <v>0</v>
      </c>
      <c r="L139">
        <f t="shared" si="10"/>
        <v>0</v>
      </c>
      <c r="M139">
        <f t="shared" si="11"/>
        <v>0</v>
      </c>
    </row>
    <row r="140" spans="5:13">
      <c r="E140">
        <v>139</v>
      </c>
      <c r="F140" s="2">
        <v>13</v>
      </c>
      <c r="G140" s="2">
        <v>21</v>
      </c>
      <c r="H140" s="2">
        <v>8</v>
      </c>
      <c r="J140">
        <f t="shared" si="8"/>
        <v>0</v>
      </c>
      <c r="K140">
        <f t="shared" si="9"/>
        <v>0</v>
      </c>
      <c r="L140">
        <f t="shared" si="10"/>
        <v>0</v>
      </c>
      <c r="M140">
        <f t="shared" si="11"/>
        <v>0</v>
      </c>
    </row>
    <row r="141" spans="5:13">
      <c r="E141">
        <v>140</v>
      </c>
      <c r="F141" s="2">
        <v>13</v>
      </c>
      <c r="G141" s="2">
        <v>22</v>
      </c>
      <c r="H141" s="2">
        <v>10</v>
      </c>
      <c r="J141">
        <f t="shared" si="8"/>
        <v>0</v>
      </c>
      <c r="K141">
        <f t="shared" si="9"/>
        <v>0</v>
      </c>
      <c r="L141">
        <f t="shared" si="10"/>
        <v>1</v>
      </c>
      <c r="M141">
        <f t="shared" si="11"/>
        <v>1</v>
      </c>
    </row>
    <row r="142" spans="5:13">
      <c r="E142">
        <v>141</v>
      </c>
      <c r="F142" s="2">
        <v>16</v>
      </c>
      <c r="G142" s="2">
        <v>24</v>
      </c>
      <c r="H142" s="2">
        <v>11</v>
      </c>
      <c r="J142">
        <f t="shared" si="8"/>
        <v>0</v>
      </c>
      <c r="K142">
        <f t="shared" si="9"/>
        <v>0</v>
      </c>
      <c r="L142">
        <f t="shared" si="10"/>
        <v>1</v>
      </c>
      <c r="M142">
        <f t="shared" si="11"/>
        <v>1</v>
      </c>
    </row>
    <row r="143" spans="5:13">
      <c r="E143">
        <v>142</v>
      </c>
      <c r="F143" s="2">
        <v>17</v>
      </c>
      <c r="G143" s="2">
        <v>25</v>
      </c>
      <c r="H143" s="2">
        <v>23</v>
      </c>
      <c r="J143">
        <f t="shared" si="8"/>
        <v>0</v>
      </c>
      <c r="K143">
        <f t="shared" si="9"/>
        <v>0</v>
      </c>
      <c r="L143">
        <f t="shared" si="10"/>
        <v>1</v>
      </c>
      <c r="M143">
        <f t="shared" si="11"/>
        <v>1</v>
      </c>
    </row>
    <row r="144" spans="5:13">
      <c r="E144">
        <v>143</v>
      </c>
      <c r="F144" s="2">
        <v>18</v>
      </c>
      <c r="G144" s="2">
        <v>27</v>
      </c>
      <c r="H144" s="2">
        <v>26</v>
      </c>
      <c r="J144">
        <f t="shared" si="8"/>
        <v>0</v>
      </c>
      <c r="K144">
        <f t="shared" si="9"/>
        <v>1</v>
      </c>
      <c r="L144">
        <f t="shared" si="10"/>
        <v>0</v>
      </c>
      <c r="M144">
        <f t="shared" si="11"/>
        <v>1</v>
      </c>
    </row>
    <row r="145" spans="5:13">
      <c r="E145">
        <v>144</v>
      </c>
      <c r="F145" s="2">
        <v>19</v>
      </c>
      <c r="G145" s="2">
        <v>2</v>
      </c>
      <c r="H145" s="2">
        <v>28</v>
      </c>
      <c r="J145">
        <f t="shared" si="8"/>
        <v>0</v>
      </c>
      <c r="K145">
        <f t="shared" si="9"/>
        <v>0</v>
      </c>
      <c r="L145">
        <f t="shared" si="10"/>
        <v>1</v>
      </c>
      <c r="M145">
        <f t="shared" si="11"/>
        <v>1</v>
      </c>
    </row>
    <row r="146" spans="5:13">
      <c r="E146">
        <v>145</v>
      </c>
      <c r="F146" s="2">
        <v>1</v>
      </c>
      <c r="G146" s="2">
        <v>5</v>
      </c>
      <c r="H146" s="2">
        <v>3</v>
      </c>
      <c r="J146">
        <f t="shared" si="8"/>
        <v>0</v>
      </c>
      <c r="K146">
        <f t="shared" si="9"/>
        <v>0</v>
      </c>
      <c r="L146">
        <f t="shared" si="10"/>
        <v>1</v>
      </c>
      <c r="M146">
        <f t="shared" si="11"/>
        <v>1</v>
      </c>
    </row>
    <row r="147" spans="5:13">
      <c r="E147">
        <v>146</v>
      </c>
      <c r="F147" s="2">
        <v>5</v>
      </c>
      <c r="G147" s="2">
        <v>9</v>
      </c>
      <c r="H147" s="2">
        <v>6</v>
      </c>
      <c r="J147">
        <f t="shared" si="8"/>
        <v>0</v>
      </c>
      <c r="K147">
        <f t="shared" si="9"/>
        <v>0</v>
      </c>
      <c r="L147">
        <f t="shared" si="10"/>
        <v>0</v>
      </c>
      <c r="M147">
        <f t="shared" si="11"/>
        <v>0</v>
      </c>
    </row>
    <row r="148" spans="5:13">
      <c r="E148">
        <v>147</v>
      </c>
      <c r="F148" s="2">
        <v>7</v>
      </c>
      <c r="G148" s="2">
        <v>12</v>
      </c>
      <c r="H148" s="2">
        <v>8</v>
      </c>
      <c r="J148">
        <f t="shared" si="8"/>
        <v>0</v>
      </c>
      <c r="K148">
        <f t="shared" si="9"/>
        <v>0</v>
      </c>
      <c r="L148">
        <f t="shared" si="10"/>
        <v>0</v>
      </c>
      <c r="M148">
        <f t="shared" si="11"/>
        <v>0</v>
      </c>
    </row>
    <row r="149" spans="5:13">
      <c r="E149">
        <v>148</v>
      </c>
      <c r="F149" s="2">
        <v>13</v>
      </c>
      <c r="G149" s="2">
        <v>9</v>
      </c>
      <c r="H149" s="2">
        <v>10</v>
      </c>
      <c r="J149">
        <f t="shared" si="8"/>
        <v>0</v>
      </c>
      <c r="K149">
        <f t="shared" si="9"/>
        <v>0</v>
      </c>
      <c r="L149">
        <f t="shared" si="10"/>
        <v>1</v>
      </c>
      <c r="M149">
        <f t="shared" si="11"/>
        <v>1</v>
      </c>
    </row>
    <row r="150" spans="5:13">
      <c r="E150">
        <v>149</v>
      </c>
      <c r="F150" s="2">
        <v>13</v>
      </c>
      <c r="G150" s="2">
        <v>20</v>
      </c>
      <c r="H150" s="2">
        <v>11</v>
      </c>
      <c r="J150">
        <f t="shared" si="8"/>
        <v>0</v>
      </c>
      <c r="K150">
        <f t="shared" si="9"/>
        <v>0</v>
      </c>
      <c r="L150">
        <f t="shared" si="10"/>
        <v>1</v>
      </c>
      <c r="M150">
        <f t="shared" si="11"/>
        <v>1</v>
      </c>
    </row>
    <row r="151" spans="5:13">
      <c r="E151">
        <v>150</v>
      </c>
      <c r="F151" s="2">
        <v>16</v>
      </c>
      <c r="G151" s="2">
        <v>21</v>
      </c>
      <c r="H151" s="2">
        <v>23</v>
      </c>
      <c r="J151">
        <f t="shared" si="8"/>
        <v>0</v>
      </c>
      <c r="K151">
        <f t="shared" si="9"/>
        <v>0</v>
      </c>
      <c r="L151">
        <f t="shared" si="10"/>
        <v>1</v>
      </c>
      <c r="M151">
        <f t="shared" si="11"/>
        <v>1</v>
      </c>
    </row>
    <row r="152" spans="5:13">
      <c r="E152">
        <v>151</v>
      </c>
      <c r="F152" s="2">
        <v>17</v>
      </c>
      <c r="G152" s="2">
        <v>22</v>
      </c>
      <c r="H152" s="2">
        <v>26</v>
      </c>
      <c r="J152">
        <f t="shared" si="8"/>
        <v>0</v>
      </c>
      <c r="K152">
        <f t="shared" si="9"/>
        <v>0</v>
      </c>
      <c r="L152">
        <f t="shared" si="10"/>
        <v>0</v>
      </c>
      <c r="M152">
        <f t="shared" si="11"/>
        <v>0</v>
      </c>
    </row>
    <row r="153" spans="5:13">
      <c r="E153">
        <v>152</v>
      </c>
      <c r="F153" s="2">
        <v>18</v>
      </c>
      <c r="G153" s="2">
        <v>24</v>
      </c>
      <c r="H153" s="2">
        <v>28</v>
      </c>
      <c r="J153">
        <f t="shared" si="8"/>
        <v>0</v>
      </c>
      <c r="K153">
        <f t="shared" si="9"/>
        <v>0</v>
      </c>
      <c r="L153">
        <f t="shared" si="10"/>
        <v>1</v>
      </c>
      <c r="M153">
        <f t="shared" si="11"/>
        <v>1</v>
      </c>
    </row>
    <row r="154" spans="5:13">
      <c r="E154">
        <v>153</v>
      </c>
      <c r="F154" s="2">
        <v>19</v>
      </c>
      <c r="G154" s="2">
        <v>25</v>
      </c>
      <c r="H154" s="2">
        <v>3</v>
      </c>
      <c r="J154">
        <f t="shared" si="8"/>
        <v>0</v>
      </c>
      <c r="K154">
        <f t="shared" si="9"/>
        <v>0</v>
      </c>
      <c r="L154">
        <f t="shared" si="10"/>
        <v>1</v>
      </c>
      <c r="M154">
        <f t="shared" si="11"/>
        <v>1</v>
      </c>
    </row>
    <row r="155" spans="5:13">
      <c r="E155">
        <v>154</v>
      </c>
      <c r="F155" s="2">
        <v>1</v>
      </c>
      <c r="G155" s="2">
        <v>27</v>
      </c>
      <c r="H155" s="2">
        <v>6</v>
      </c>
      <c r="J155">
        <f t="shared" si="8"/>
        <v>0</v>
      </c>
      <c r="K155">
        <f t="shared" si="9"/>
        <v>1</v>
      </c>
      <c r="L155">
        <f t="shared" si="10"/>
        <v>0</v>
      </c>
      <c r="M155">
        <f t="shared" si="11"/>
        <v>1</v>
      </c>
    </row>
    <row r="156" spans="5:13">
      <c r="E156">
        <v>155</v>
      </c>
      <c r="F156" s="2">
        <v>5</v>
      </c>
      <c r="G156" s="2">
        <v>2</v>
      </c>
      <c r="H156" s="2">
        <v>8</v>
      </c>
      <c r="J156">
        <f t="shared" si="8"/>
        <v>0</v>
      </c>
      <c r="K156">
        <f t="shared" si="9"/>
        <v>0</v>
      </c>
      <c r="L156">
        <f t="shared" si="10"/>
        <v>0</v>
      </c>
      <c r="M156">
        <f t="shared" si="11"/>
        <v>0</v>
      </c>
    </row>
    <row r="157" spans="5:13">
      <c r="E157">
        <v>156</v>
      </c>
      <c r="F157" s="2">
        <v>7</v>
      </c>
      <c r="G157" s="2">
        <v>5</v>
      </c>
      <c r="H157" s="2">
        <v>10</v>
      </c>
      <c r="J157">
        <f t="shared" si="8"/>
        <v>0</v>
      </c>
      <c r="K157">
        <f t="shared" si="9"/>
        <v>0</v>
      </c>
      <c r="L157">
        <f t="shared" si="10"/>
        <v>1</v>
      </c>
      <c r="M157">
        <f t="shared" si="11"/>
        <v>1</v>
      </c>
    </row>
    <row r="158" spans="5:13">
      <c r="E158">
        <v>157</v>
      </c>
      <c r="F158" s="2">
        <v>13</v>
      </c>
      <c r="G158" s="2">
        <v>9</v>
      </c>
      <c r="H158" s="2">
        <v>11</v>
      </c>
      <c r="J158">
        <f t="shared" si="8"/>
        <v>0</v>
      </c>
      <c r="K158">
        <f t="shared" si="9"/>
        <v>0</v>
      </c>
      <c r="L158">
        <f t="shared" si="10"/>
        <v>1</v>
      </c>
      <c r="M158">
        <f t="shared" si="11"/>
        <v>1</v>
      </c>
    </row>
    <row r="159" spans="5:13">
      <c r="E159">
        <v>158</v>
      </c>
      <c r="F159" s="2">
        <v>13</v>
      </c>
      <c r="G159" s="2">
        <v>12</v>
      </c>
      <c r="H159" s="2">
        <v>23</v>
      </c>
      <c r="J159">
        <f t="shared" si="8"/>
        <v>0</v>
      </c>
      <c r="K159">
        <f t="shared" si="9"/>
        <v>0</v>
      </c>
      <c r="L159">
        <f t="shared" si="10"/>
        <v>1</v>
      </c>
      <c r="M159">
        <f t="shared" si="11"/>
        <v>1</v>
      </c>
    </row>
    <row r="160" spans="5:13">
      <c r="E160">
        <v>159</v>
      </c>
      <c r="F160" s="2">
        <v>16</v>
      </c>
      <c r="G160" s="2">
        <v>15</v>
      </c>
      <c r="H160" s="2">
        <v>26</v>
      </c>
      <c r="J160">
        <f t="shared" si="8"/>
        <v>0</v>
      </c>
      <c r="K160">
        <f t="shared" si="9"/>
        <v>1</v>
      </c>
      <c r="L160">
        <f t="shared" si="10"/>
        <v>0</v>
      </c>
      <c r="M160">
        <f t="shared" si="11"/>
        <v>1</v>
      </c>
    </row>
    <row r="161" spans="5:13">
      <c r="E161">
        <v>160</v>
      </c>
      <c r="F161" s="2">
        <v>17</v>
      </c>
      <c r="G161" s="2">
        <v>20</v>
      </c>
      <c r="H161" s="2">
        <v>28</v>
      </c>
      <c r="J161">
        <f t="shared" si="8"/>
        <v>0</v>
      </c>
      <c r="K161">
        <f t="shared" si="9"/>
        <v>0</v>
      </c>
      <c r="L161">
        <f t="shared" si="10"/>
        <v>1</v>
      </c>
      <c r="M161">
        <f t="shared" si="11"/>
        <v>1</v>
      </c>
    </row>
    <row r="162" spans="5:13">
      <c r="E162">
        <v>161</v>
      </c>
      <c r="F162" s="2">
        <v>18</v>
      </c>
      <c r="G162" s="2">
        <v>21</v>
      </c>
      <c r="H162" s="2">
        <v>3</v>
      </c>
      <c r="J162">
        <f t="shared" si="8"/>
        <v>0</v>
      </c>
      <c r="K162">
        <f t="shared" si="9"/>
        <v>0</v>
      </c>
      <c r="L162">
        <f t="shared" si="10"/>
        <v>1</v>
      </c>
      <c r="M162">
        <f t="shared" si="11"/>
        <v>1</v>
      </c>
    </row>
    <row r="163" spans="5:13">
      <c r="E163">
        <v>162</v>
      </c>
      <c r="F163" s="2">
        <v>19</v>
      </c>
      <c r="G163" s="2">
        <v>22</v>
      </c>
      <c r="H163" s="2">
        <v>6</v>
      </c>
      <c r="J163">
        <f t="shared" si="8"/>
        <v>0</v>
      </c>
      <c r="K163">
        <f t="shared" si="9"/>
        <v>0</v>
      </c>
      <c r="L163">
        <f t="shared" si="10"/>
        <v>0</v>
      </c>
      <c r="M163">
        <f t="shared" si="11"/>
        <v>0</v>
      </c>
    </row>
    <row r="164" spans="5:13">
      <c r="E164">
        <v>163</v>
      </c>
      <c r="F164" s="2">
        <v>1</v>
      </c>
      <c r="G164" s="2">
        <v>24</v>
      </c>
      <c r="H164" s="2">
        <v>8</v>
      </c>
      <c r="J164">
        <f t="shared" si="8"/>
        <v>0</v>
      </c>
      <c r="K164">
        <f t="shared" si="9"/>
        <v>0</v>
      </c>
      <c r="L164">
        <f t="shared" si="10"/>
        <v>0</v>
      </c>
      <c r="M164">
        <f t="shared" si="11"/>
        <v>0</v>
      </c>
    </row>
    <row r="165" spans="5:13">
      <c r="E165">
        <v>164</v>
      </c>
      <c r="F165" s="2">
        <v>5</v>
      </c>
      <c r="G165" s="2">
        <v>25</v>
      </c>
      <c r="H165" s="2">
        <v>10</v>
      </c>
      <c r="J165">
        <f t="shared" si="8"/>
        <v>0</v>
      </c>
      <c r="K165">
        <f t="shared" si="9"/>
        <v>0</v>
      </c>
      <c r="L165">
        <f t="shared" si="10"/>
        <v>1</v>
      </c>
      <c r="M165">
        <f t="shared" si="11"/>
        <v>1</v>
      </c>
    </row>
    <row r="166" spans="5:13">
      <c r="E166">
        <v>165</v>
      </c>
      <c r="F166" s="2">
        <v>7</v>
      </c>
      <c r="G166" s="2">
        <v>24</v>
      </c>
      <c r="H166" s="2">
        <v>11</v>
      </c>
      <c r="J166">
        <f t="shared" si="8"/>
        <v>0</v>
      </c>
      <c r="K166">
        <f t="shared" si="9"/>
        <v>0</v>
      </c>
      <c r="L166">
        <f t="shared" si="10"/>
        <v>1</v>
      </c>
      <c r="M166">
        <f t="shared" si="11"/>
        <v>1</v>
      </c>
    </row>
    <row r="167" spans="5:13">
      <c r="E167">
        <v>166</v>
      </c>
      <c r="F167" s="2">
        <v>13</v>
      </c>
      <c r="G167" s="2">
        <v>2</v>
      </c>
      <c r="H167" s="2">
        <v>23</v>
      </c>
      <c r="J167">
        <f t="shared" si="8"/>
        <v>0</v>
      </c>
      <c r="K167">
        <f t="shared" si="9"/>
        <v>0</v>
      </c>
      <c r="L167">
        <f t="shared" si="10"/>
        <v>1</v>
      </c>
      <c r="M167">
        <f t="shared" si="11"/>
        <v>1</v>
      </c>
    </row>
    <row r="168" spans="5:13">
      <c r="E168">
        <v>167</v>
      </c>
      <c r="F168" s="2">
        <v>13</v>
      </c>
      <c r="G168" s="2">
        <v>4</v>
      </c>
      <c r="H168" s="2">
        <v>26</v>
      </c>
      <c r="J168">
        <f t="shared" si="8"/>
        <v>0</v>
      </c>
      <c r="K168">
        <f t="shared" si="9"/>
        <v>1</v>
      </c>
      <c r="L168">
        <f t="shared" si="10"/>
        <v>0</v>
      </c>
      <c r="M168">
        <f t="shared" si="11"/>
        <v>1</v>
      </c>
    </row>
    <row r="169" spans="5:13">
      <c r="E169">
        <v>168</v>
      </c>
      <c r="F169" s="2">
        <v>16</v>
      </c>
      <c r="G169" s="2">
        <v>9</v>
      </c>
      <c r="H169" s="2">
        <v>28</v>
      </c>
      <c r="J169">
        <f t="shared" si="8"/>
        <v>0</v>
      </c>
      <c r="K169">
        <f t="shared" si="9"/>
        <v>0</v>
      </c>
      <c r="L169">
        <f t="shared" si="10"/>
        <v>1</v>
      </c>
      <c r="M169">
        <f t="shared" si="11"/>
        <v>1</v>
      </c>
    </row>
    <row r="170" spans="5:13">
      <c r="E170">
        <v>169</v>
      </c>
      <c r="F170" s="2">
        <v>17</v>
      </c>
      <c r="G170" s="2">
        <v>12</v>
      </c>
      <c r="H170" s="2">
        <v>3</v>
      </c>
      <c r="J170">
        <f t="shared" si="8"/>
        <v>0</v>
      </c>
      <c r="K170">
        <f t="shared" si="9"/>
        <v>0</v>
      </c>
      <c r="L170">
        <f t="shared" si="10"/>
        <v>1</v>
      </c>
      <c r="M170">
        <f t="shared" si="11"/>
        <v>1</v>
      </c>
    </row>
    <row r="171" spans="5:13">
      <c r="E171">
        <v>170</v>
      </c>
      <c r="F171" s="2">
        <v>18</v>
      </c>
      <c r="G171" s="2">
        <v>15</v>
      </c>
      <c r="H171" s="2">
        <v>6</v>
      </c>
      <c r="J171">
        <f t="shared" si="8"/>
        <v>0</v>
      </c>
      <c r="K171">
        <f t="shared" si="9"/>
        <v>1</v>
      </c>
      <c r="L171">
        <f t="shared" si="10"/>
        <v>0</v>
      </c>
      <c r="M171">
        <f t="shared" si="11"/>
        <v>1</v>
      </c>
    </row>
    <row r="172" spans="5:13">
      <c r="E172">
        <v>171</v>
      </c>
      <c r="F172" s="2">
        <v>19</v>
      </c>
      <c r="G172" s="2">
        <v>20</v>
      </c>
      <c r="H172" s="2">
        <v>8</v>
      </c>
      <c r="J172">
        <f t="shared" si="8"/>
        <v>0</v>
      </c>
      <c r="K172">
        <f t="shared" si="9"/>
        <v>0</v>
      </c>
      <c r="L172">
        <f t="shared" si="10"/>
        <v>0</v>
      </c>
      <c r="M172">
        <f t="shared" si="11"/>
        <v>0</v>
      </c>
    </row>
    <row r="173" spans="5:13">
      <c r="E173">
        <v>172</v>
      </c>
      <c r="F173" s="2">
        <v>1</v>
      </c>
      <c r="G173" s="2">
        <v>21</v>
      </c>
      <c r="H173" s="2">
        <v>10</v>
      </c>
      <c r="J173">
        <f t="shared" si="8"/>
        <v>0</v>
      </c>
      <c r="K173">
        <f t="shared" si="9"/>
        <v>0</v>
      </c>
      <c r="L173">
        <f t="shared" si="10"/>
        <v>1</v>
      </c>
      <c r="M173">
        <f t="shared" si="11"/>
        <v>1</v>
      </c>
    </row>
    <row r="174" spans="5:13">
      <c r="E174">
        <v>173</v>
      </c>
      <c r="F174" s="2">
        <v>5</v>
      </c>
      <c r="G174" s="2">
        <v>22</v>
      </c>
      <c r="H174" s="2">
        <v>11</v>
      </c>
      <c r="J174">
        <f t="shared" si="8"/>
        <v>0</v>
      </c>
      <c r="K174">
        <f t="shared" si="9"/>
        <v>0</v>
      </c>
      <c r="L174">
        <f t="shared" si="10"/>
        <v>1</v>
      </c>
      <c r="M174">
        <f t="shared" si="11"/>
        <v>1</v>
      </c>
    </row>
    <row r="175" spans="5:13">
      <c r="E175">
        <v>174</v>
      </c>
      <c r="F175" s="2">
        <v>7</v>
      </c>
      <c r="G175" s="2">
        <v>24</v>
      </c>
      <c r="H175" s="2">
        <v>23</v>
      </c>
      <c r="J175">
        <f t="shared" si="8"/>
        <v>0</v>
      </c>
      <c r="K175">
        <f t="shared" si="9"/>
        <v>0</v>
      </c>
      <c r="L175">
        <f t="shared" si="10"/>
        <v>1</v>
      </c>
      <c r="M175">
        <f t="shared" si="11"/>
        <v>1</v>
      </c>
    </row>
    <row r="176" spans="5:13">
      <c r="E176">
        <v>175</v>
      </c>
      <c r="F176" s="2">
        <v>13</v>
      </c>
      <c r="G176" s="2">
        <v>25</v>
      </c>
      <c r="H176" s="2">
        <v>26</v>
      </c>
      <c r="J176">
        <f t="shared" si="8"/>
        <v>0</v>
      </c>
      <c r="K176">
        <f t="shared" si="9"/>
        <v>0</v>
      </c>
      <c r="L176">
        <f t="shared" si="10"/>
        <v>0</v>
      </c>
      <c r="M176">
        <f t="shared" si="11"/>
        <v>0</v>
      </c>
    </row>
    <row r="177" spans="5:13">
      <c r="E177">
        <v>176</v>
      </c>
      <c r="F177" s="2">
        <v>13</v>
      </c>
      <c r="G177" s="2">
        <v>24</v>
      </c>
      <c r="H177" s="2">
        <v>28</v>
      </c>
      <c r="J177">
        <f t="shared" si="8"/>
        <v>0</v>
      </c>
      <c r="K177">
        <f t="shared" si="9"/>
        <v>0</v>
      </c>
      <c r="L177">
        <f t="shared" si="10"/>
        <v>1</v>
      </c>
      <c r="M177">
        <f t="shared" si="11"/>
        <v>1</v>
      </c>
    </row>
    <row r="178" spans="5:13">
      <c r="E178">
        <v>177</v>
      </c>
      <c r="F178" s="2">
        <v>16</v>
      </c>
      <c r="G178" s="2">
        <v>2</v>
      </c>
      <c r="H178" s="2">
        <v>3</v>
      </c>
      <c r="J178">
        <f t="shared" si="8"/>
        <v>0</v>
      </c>
      <c r="K178">
        <f t="shared" si="9"/>
        <v>0</v>
      </c>
      <c r="L178">
        <f t="shared" si="10"/>
        <v>1</v>
      </c>
      <c r="M178">
        <f t="shared" si="11"/>
        <v>1</v>
      </c>
    </row>
    <row r="179" spans="5:13">
      <c r="E179">
        <v>178</v>
      </c>
      <c r="F179" s="2">
        <v>17</v>
      </c>
      <c r="G179" s="2">
        <v>4</v>
      </c>
      <c r="H179" s="2">
        <v>6</v>
      </c>
      <c r="J179">
        <f t="shared" si="8"/>
        <v>0</v>
      </c>
      <c r="K179">
        <f t="shared" si="9"/>
        <v>1</v>
      </c>
      <c r="L179">
        <f t="shared" si="10"/>
        <v>0</v>
      </c>
      <c r="M179">
        <f t="shared" si="11"/>
        <v>1</v>
      </c>
    </row>
    <row r="180" spans="5:13">
      <c r="E180">
        <v>179</v>
      </c>
      <c r="F180" s="2">
        <v>18</v>
      </c>
      <c r="G180" s="2">
        <v>9</v>
      </c>
      <c r="H180" s="2">
        <v>8</v>
      </c>
      <c r="J180">
        <f t="shared" si="8"/>
        <v>0</v>
      </c>
      <c r="K180">
        <f t="shared" si="9"/>
        <v>0</v>
      </c>
      <c r="L180">
        <f t="shared" si="10"/>
        <v>0</v>
      </c>
      <c r="M180">
        <f t="shared" si="11"/>
        <v>0</v>
      </c>
    </row>
    <row r="181" spans="5:13">
      <c r="E181">
        <v>180</v>
      </c>
      <c r="F181" s="2">
        <v>19</v>
      </c>
      <c r="G181" s="2">
        <v>12</v>
      </c>
      <c r="H181" s="2">
        <v>10</v>
      </c>
      <c r="J181">
        <f t="shared" si="8"/>
        <v>0</v>
      </c>
      <c r="K181">
        <f t="shared" si="9"/>
        <v>0</v>
      </c>
      <c r="L181">
        <f t="shared" si="10"/>
        <v>1</v>
      </c>
      <c r="M181">
        <f t="shared" si="11"/>
        <v>1</v>
      </c>
    </row>
    <row r="182" spans="5:13">
      <c r="E182">
        <v>181</v>
      </c>
      <c r="F182" s="2">
        <v>1</v>
      </c>
      <c r="G182" s="2">
        <v>9</v>
      </c>
      <c r="H182" s="2">
        <v>11</v>
      </c>
      <c r="J182">
        <f t="shared" si="8"/>
        <v>0</v>
      </c>
      <c r="K182">
        <f t="shared" si="9"/>
        <v>0</v>
      </c>
      <c r="L182">
        <f t="shared" si="10"/>
        <v>1</v>
      </c>
      <c r="M182">
        <f t="shared" si="11"/>
        <v>1</v>
      </c>
    </row>
    <row r="183" spans="5:13">
      <c r="E183">
        <v>182</v>
      </c>
      <c r="F183" s="2">
        <v>5</v>
      </c>
      <c r="G183" s="2">
        <v>20</v>
      </c>
      <c r="H183" s="2">
        <v>23</v>
      </c>
      <c r="J183">
        <f t="shared" si="8"/>
        <v>0</v>
      </c>
      <c r="K183">
        <f t="shared" si="9"/>
        <v>0</v>
      </c>
      <c r="L183">
        <f t="shared" si="10"/>
        <v>1</v>
      </c>
      <c r="M183">
        <f t="shared" si="11"/>
        <v>1</v>
      </c>
    </row>
    <row r="184" spans="5:13">
      <c r="E184">
        <v>183</v>
      </c>
      <c r="F184" s="2">
        <v>7</v>
      </c>
      <c r="G184" s="2">
        <v>21</v>
      </c>
      <c r="H184" s="2">
        <v>26</v>
      </c>
      <c r="J184">
        <f t="shared" si="8"/>
        <v>0</v>
      </c>
      <c r="K184">
        <f t="shared" si="9"/>
        <v>0</v>
      </c>
      <c r="L184">
        <f t="shared" si="10"/>
        <v>0</v>
      </c>
      <c r="M184">
        <f t="shared" si="11"/>
        <v>0</v>
      </c>
    </row>
    <row r="185" spans="5:13">
      <c r="E185">
        <v>184</v>
      </c>
      <c r="F185" s="2">
        <v>13</v>
      </c>
      <c r="G185" s="2">
        <v>22</v>
      </c>
      <c r="H185" s="2">
        <v>28</v>
      </c>
      <c r="J185">
        <f t="shared" si="8"/>
        <v>0</v>
      </c>
      <c r="K185">
        <f t="shared" si="9"/>
        <v>0</v>
      </c>
      <c r="L185">
        <f t="shared" si="10"/>
        <v>1</v>
      </c>
      <c r="M185">
        <f t="shared" si="11"/>
        <v>1</v>
      </c>
    </row>
    <row r="186" spans="5:13">
      <c r="E186">
        <v>185</v>
      </c>
      <c r="F186" s="2">
        <v>13</v>
      </c>
      <c r="G186" s="2">
        <v>24</v>
      </c>
      <c r="H186" s="2">
        <v>3</v>
      </c>
      <c r="J186">
        <f t="shared" si="8"/>
        <v>0</v>
      </c>
      <c r="K186">
        <f t="shared" si="9"/>
        <v>0</v>
      </c>
      <c r="L186">
        <f t="shared" si="10"/>
        <v>1</v>
      </c>
      <c r="M186">
        <f t="shared" si="11"/>
        <v>1</v>
      </c>
    </row>
    <row r="187" spans="5:13">
      <c r="E187">
        <v>186</v>
      </c>
      <c r="F187" s="2">
        <v>16</v>
      </c>
      <c r="G187" s="2">
        <v>25</v>
      </c>
      <c r="H187" s="2">
        <v>6</v>
      </c>
      <c r="J187">
        <f t="shared" si="8"/>
        <v>0</v>
      </c>
      <c r="K187">
        <f t="shared" si="9"/>
        <v>0</v>
      </c>
      <c r="L187">
        <f t="shared" si="10"/>
        <v>0</v>
      </c>
      <c r="M187">
        <f t="shared" si="11"/>
        <v>0</v>
      </c>
    </row>
    <row r="188" spans="5:13">
      <c r="E188">
        <v>187</v>
      </c>
      <c r="F188" s="2">
        <v>17</v>
      </c>
      <c r="G188" s="2">
        <v>27</v>
      </c>
      <c r="H188" s="2">
        <v>8</v>
      </c>
      <c r="J188">
        <f t="shared" si="8"/>
        <v>0</v>
      </c>
      <c r="K188">
        <f t="shared" si="9"/>
        <v>1</v>
      </c>
      <c r="L188">
        <f t="shared" si="10"/>
        <v>0</v>
      </c>
      <c r="M188">
        <f t="shared" si="11"/>
        <v>1</v>
      </c>
    </row>
    <row r="189" spans="5:13">
      <c r="E189">
        <v>188</v>
      </c>
      <c r="F189" s="2">
        <v>18</v>
      </c>
      <c r="G189" s="2">
        <v>2</v>
      </c>
      <c r="H189" s="2">
        <v>10</v>
      </c>
      <c r="J189">
        <f t="shared" si="8"/>
        <v>0</v>
      </c>
      <c r="K189">
        <f t="shared" si="9"/>
        <v>0</v>
      </c>
      <c r="L189">
        <f t="shared" si="10"/>
        <v>1</v>
      </c>
      <c r="M189">
        <f t="shared" si="11"/>
        <v>1</v>
      </c>
    </row>
    <row r="190" spans="5:13">
      <c r="E190">
        <v>189</v>
      </c>
      <c r="F190" s="2">
        <v>19</v>
      </c>
      <c r="G190" s="2">
        <v>5</v>
      </c>
      <c r="H190" s="2">
        <v>11</v>
      </c>
      <c r="J190">
        <f t="shared" si="8"/>
        <v>0</v>
      </c>
      <c r="K190">
        <f t="shared" si="9"/>
        <v>0</v>
      </c>
      <c r="L190">
        <f t="shared" si="10"/>
        <v>1</v>
      </c>
      <c r="M190">
        <f t="shared" si="11"/>
        <v>1</v>
      </c>
    </row>
    <row r="191" spans="5:13">
      <c r="E191">
        <v>190</v>
      </c>
      <c r="F191" s="2">
        <v>1</v>
      </c>
      <c r="G191" s="2">
        <v>9</v>
      </c>
      <c r="H191" s="2">
        <v>23</v>
      </c>
      <c r="J191">
        <f t="shared" si="8"/>
        <v>0</v>
      </c>
      <c r="K191">
        <f t="shared" si="9"/>
        <v>0</v>
      </c>
      <c r="L191">
        <f t="shared" si="10"/>
        <v>1</v>
      </c>
      <c r="M191">
        <f t="shared" si="11"/>
        <v>1</v>
      </c>
    </row>
    <row r="192" spans="5:13">
      <c r="E192">
        <v>191</v>
      </c>
      <c r="F192" s="2">
        <v>5</v>
      </c>
      <c r="G192" s="2">
        <v>12</v>
      </c>
      <c r="H192" s="2">
        <v>26</v>
      </c>
      <c r="J192">
        <f t="shared" si="8"/>
        <v>0</v>
      </c>
      <c r="K192">
        <f t="shared" si="9"/>
        <v>0</v>
      </c>
      <c r="L192">
        <f t="shared" si="10"/>
        <v>0</v>
      </c>
      <c r="M192">
        <f t="shared" si="11"/>
        <v>0</v>
      </c>
    </row>
    <row r="193" spans="5:13">
      <c r="E193">
        <v>192</v>
      </c>
      <c r="F193" s="2">
        <v>7</v>
      </c>
      <c r="G193" s="2">
        <v>9</v>
      </c>
      <c r="H193" s="2">
        <v>28</v>
      </c>
      <c r="J193">
        <f t="shared" si="8"/>
        <v>0</v>
      </c>
      <c r="K193">
        <f t="shared" si="9"/>
        <v>0</v>
      </c>
      <c r="L193">
        <f t="shared" si="10"/>
        <v>1</v>
      </c>
      <c r="M193">
        <f t="shared" si="11"/>
        <v>1</v>
      </c>
    </row>
    <row r="194" spans="5:13">
      <c r="E194">
        <v>193</v>
      </c>
      <c r="F194" s="2">
        <v>13</v>
      </c>
      <c r="G194" s="2">
        <v>20</v>
      </c>
      <c r="H194" s="2">
        <v>3</v>
      </c>
      <c r="J194">
        <f t="shared" si="8"/>
        <v>0</v>
      </c>
      <c r="K194">
        <f t="shared" si="9"/>
        <v>0</v>
      </c>
      <c r="L194">
        <f t="shared" si="10"/>
        <v>1</v>
      </c>
      <c r="M194">
        <f t="shared" si="11"/>
        <v>1</v>
      </c>
    </row>
    <row r="195" spans="5:13">
      <c r="E195">
        <v>194</v>
      </c>
      <c r="F195" s="2">
        <v>14</v>
      </c>
      <c r="G195" s="2">
        <v>21</v>
      </c>
      <c r="H195" s="2">
        <v>6</v>
      </c>
      <c r="J195">
        <f t="shared" ref="J195:J221" si="12">VLOOKUP(F195,$A:$B,2,FALSE)</f>
        <v>1</v>
      </c>
      <c r="K195">
        <f t="shared" ref="K195:K221" si="13">VLOOKUP(G195,$A:$B,2,FALSE)</f>
        <v>0</v>
      </c>
      <c r="L195">
        <f t="shared" ref="L195:L221" si="14">VLOOKUP(H195,$A:$B,2,FALSE)</f>
        <v>0</v>
      </c>
      <c r="M195">
        <f t="shared" ref="M195:M221" si="15">SUM(J195:L195)</f>
        <v>1</v>
      </c>
    </row>
    <row r="196" spans="5:13">
      <c r="E196">
        <v>195</v>
      </c>
      <c r="F196" s="2">
        <v>16</v>
      </c>
      <c r="G196" s="2">
        <v>22</v>
      </c>
      <c r="H196" s="2">
        <v>8</v>
      </c>
      <c r="J196">
        <f t="shared" si="12"/>
        <v>0</v>
      </c>
      <c r="K196">
        <f t="shared" si="13"/>
        <v>0</v>
      </c>
      <c r="L196">
        <f t="shared" si="14"/>
        <v>0</v>
      </c>
      <c r="M196">
        <f t="shared" si="15"/>
        <v>0</v>
      </c>
    </row>
    <row r="197" spans="5:13">
      <c r="E197">
        <v>196</v>
      </c>
      <c r="F197" s="2">
        <v>17</v>
      </c>
      <c r="G197" s="2">
        <v>24</v>
      </c>
      <c r="H197" s="2">
        <v>10</v>
      </c>
      <c r="J197">
        <f t="shared" si="12"/>
        <v>0</v>
      </c>
      <c r="K197">
        <f t="shared" si="13"/>
        <v>0</v>
      </c>
      <c r="L197">
        <f t="shared" si="14"/>
        <v>1</v>
      </c>
      <c r="M197">
        <f t="shared" si="15"/>
        <v>1</v>
      </c>
    </row>
    <row r="198" spans="5:13">
      <c r="E198">
        <v>197</v>
      </c>
      <c r="F198" s="2">
        <v>18</v>
      </c>
      <c r="G198" s="2">
        <v>25</v>
      </c>
      <c r="H198" s="2">
        <v>11</v>
      </c>
      <c r="J198">
        <f t="shared" si="12"/>
        <v>0</v>
      </c>
      <c r="K198">
        <f t="shared" si="13"/>
        <v>0</v>
      </c>
      <c r="L198">
        <f t="shared" si="14"/>
        <v>1</v>
      </c>
      <c r="M198">
        <f t="shared" si="15"/>
        <v>1</v>
      </c>
    </row>
    <row r="199" spans="5:13">
      <c r="E199">
        <v>198</v>
      </c>
      <c r="F199" s="2">
        <v>19</v>
      </c>
      <c r="G199" s="2">
        <v>24</v>
      </c>
      <c r="H199" s="2">
        <v>23</v>
      </c>
      <c r="J199">
        <f t="shared" si="12"/>
        <v>0</v>
      </c>
      <c r="K199">
        <f t="shared" si="13"/>
        <v>0</v>
      </c>
      <c r="L199">
        <f t="shared" si="14"/>
        <v>1</v>
      </c>
      <c r="M199">
        <f t="shared" si="15"/>
        <v>1</v>
      </c>
    </row>
    <row r="200" spans="5:13">
      <c r="E200">
        <v>199</v>
      </c>
      <c r="F200" s="2">
        <v>18</v>
      </c>
      <c r="G200" s="2">
        <v>2</v>
      </c>
      <c r="H200" s="2">
        <v>26</v>
      </c>
      <c r="J200">
        <f t="shared" si="12"/>
        <v>0</v>
      </c>
      <c r="K200">
        <f t="shared" si="13"/>
        <v>0</v>
      </c>
      <c r="L200">
        <f t="shared" si="14"/>
        <v>0</v>
      </c>
      <c r="M200">
        <f t="shared" si="15"/>
        <v>0</v>
      </c>
    </row>
    <row r="201" spans="5:13">
      <c r="E201">
        <v>200</v>
      </c>
      <c r="F201" s="2">
        <v>19</v>
      </c>
      <c r="G201" s="2">
        <v>5</v>
      </c>
      <c r="H201" s="2">
        <v>28</v>
      </c>
      <c r="J201">
        <f t="shared" si="12"/>
        <v>0</v>
      </c>
      <c r="K201">
        <f t="shared" si="13"/>
        <v>0</v>
      </c>
      <c r="L201">
        <f t="shared" si="14"/>
        <v>1</v>
      </c>
      <c r="M201">
        <f t="shared" si="15"/>
        <v>1</v>
      </c>
    </row>
    <row r="202" spans="5:13">
      <c r="E202">
        <v>10001</v>
      </c>
      <c r="F202" s="2">
        <v>1</v>
      </c>
      <c r="G202" s="2">
        <v>9</v>
      </c>
      <c r="H202" s="2">
        <v>3</v>
      </c>
      <c r="J202">
        <f t="shared" si="12"/>
        <v>0</v>
      </c>
      <c r="K202">
        <f t="shared" si="13"/>
        <v>0</v>
      </c>
      <c r="L202">
        <f t="shared" si="14"/>
        <v>1</v>
      </c>
      <c r="M202">
        <f t="shared" si="15"/>
        <v>1</v>
      </c>
    </row>
    <row r="203" spans="5:13">
      <c r="E203">
        <v>10002</v>
      </c>
      <c r="F203" s="2">
        <v>5</v>
      </c>
      <c r="G203" s="2">
        <v>12</v>
      </c>
      <c r="H203" s="2">
        <v>6</v>
      </c>
      <c r="J203">
        <f t="shared" si="12"/>
        <v>0</v>
      </c>
      <c r="K203">
        <f t="shared" si="13"/>
        <v>0</v>
      </c>
      <c r="L203">
        <f t="shared" si="14"/>
        <v>0</v>
      </c>
      <c r="M203">
        <f t="shared" si="15"/>
        <v>0</v>
      </c>
    </row>
    <row r="204" spans="5:13">
      <c r="E204">
        <v>10003</v>
      </c>
      <c r="F204" s="2">
        <v>7</v>
      </c>
      <c r="G204" s="2">
        <v>15</v>
      </c>
      <c r="H204" s="2">
        <v>8</v>
      </c>
      <c r="J204">
        <f t="shared" si="12"/>
        <v>0</v>
      </c>
      <c r="K204">
        <f t="shared" si="13"/>
        <v>1</v>
      </c>
      <c r="L204">
        <f t="shared" si="14"/>
        <v>0</v>
      </c>
      <c r="M204">
        <f t="shared" si="15"/>
        <v>1</v>
      </c>
    </row>
    <row r="205" spans="5:13">
      <c r="E205">
        <v>10004</v>
      </c>
      <c r="F205" s="2">
        <v>13</v>
      </c>
      <c r="G205" s="2">
        <v>20</v>
      </c>
      <c r="H205" s="2">
        <v>10</v>
      </c>
      <c r="J205">
        <f t="shared" si="12"/>
        <v>0</v>
      </c>
      <c r="K205">
        <f t="shared" si="13"/>
        <v>0</v>
      </c>
      <c r="L205">
        <f t="shared" si="14"/>
        <v>1</v>
      </c>
      <c r="M205">
        <f t="shared" si="15"/>
        <v>1</v>
      </c>
    </row>
    <row r="206" spans="5:13">
      <c r="E206">
        <v>10005</v>
      </c>
      <c r="F206" s="2">
        <v>16</v>
      </c>
      <c r="G206" s="2">
        <v>21</v>
      </c>
      <c r="H206" s="2">
        <v>11</v>
      </c>
      <c r="J206">
        <f t="shared" si="12"/>
        <v>0</v>
      </c>
      <c r="K206">
        <f t="shared" si="13"/>
        <v>0</v>
      </c>
      <c r="L206">
        <f t="shared" si="14"/>
        <v>1</v>
      </c>
      <c r="M206">
        <f t="shared" si="15"/>
        <v>1</v>
      </c>
    </row>
    <row r="207" spans="5:13">
      <c r="E207">
        <v>10006</v>
      </c>
      <c r="F207" s="2">
        <v>16</v>
      </c>
      <c r="G207" s="2">
        <v>22</v>
      </c>
      <c r="H207" s="2">
        <v>23</v>
      </c>
      <c r="J207">
        <f t="shared" si="12"/>
        <v>0</v>
      </c>
      <c r="K207">
        <f t="shared" si="13"/>
        <v>0</v>
      </c>
      <c r="L207">
        <f t="shared" si="14"/>
        <v>1</v>
      </c>
      <c r="M207">
        <f t="shared" si="15"/>
        <v>1</v>
      </c>
    </row>
    <row r="208" spans="5:13">
      <c r="E208">
        <v>10007</v>
      </c>
      <c r="F208" s="2">
        <v>17</v>
      </c>
      <c r="G208" s="2">
        <v>24</v>
      </c>
      <c r="H208" s="2">
        <v>26</v>
      </c>
      <c r="J208">
        <f t="shared" si="12"/>
        <v>0</v>
      </c>
      <c r="K208">
        <f t="shared" si="13"/>
        <v>0</v>
      </c>
      <c r="L208">
        <f t="shared" si="14"/>
        <v>0</v>
      </c>
      <c r="M208">
        <f t="shared" si="15"/>
        <v>0</v>
      </c>
    </row>
    <row r="209" spans="5:13">
      <c r="E209">
        <v>10008</v>
      </c>
      <c r="F209" s="2">
        <v>18</v>
      </c>
      <c r="G209" s="2">
        <v>25</v>
      </c>
      <c r="H209" s="2">
        <v>28</v>
      </c>
      <c r="J209">
        <f t="shared" si="12"/>
        <v>0</v>
      </c>
      <c r="K209">
        <f t="shared" si="13"/>
        <v>0</v>
      </c>
      <c r="L209">
        <f t="shared" si="14"/>
        <v>1</v>
      </c>
      <c r="M209">
        <f t="shared" si="15"/>
        <v>1</v>
      </c>
    </row>
    <row r="210" spans="5:13">
      <c r="E210">
        <v>10009</v>
      </c>
      <c r="F210" s="2">
        <v>19</v>
      </c>
      <c r="G210" s="2">
        <v>27</v>
      </c>
      <c r="H210" s="2">
        <v>26</v>
      </c>
      <c r="J210">
        <f t="shared" si="12"/>
        <v>0</v>
      </c>
      <c r="K210">
        <f t="shared" si="13"/>
        <v>1</v>
      </c>
      <c r="L210">
        <f t="shared" si="14"/>
        <v>0</v>
      </c>
      <c r="M210">
        <f t="shared" si="15"/>
        <v>1</v>
      </c>
    </row>
    <row r="211" spans="5:13">
      <c r="E211">
        <v>10010</v>
      </c>
      <c r="F211" s="2">
        <v>18</v>
      </c>
      <c r="G211" s="2">
        <v>25</v>
      </c>
      <c r="H211" s="2">
        <v>28</v>
      </c>
      <c r="J211">
        <f t="shared" si="12"/>
        <v>0</v>
      </c>
      <c r="K211">
        <f t="shared" si="13"/>
        <v>0</v>
      </c>
      <c r="L211">
        <f t="shared" si="14"/>
        <v>1</v>
      </c>
      <c r="M211">
        <f t="shared" si="15"/>
        <v>1</v>
      </c>
    </row>
    <row r="212" spans="5:13">
      <c r="E212">
        <v>20001</v>
      </c>
      <c r="F212" s="2">
        <v>1</v>
      </c>
      <c r="G212" s="2">
        <v>5</v>
      </c>
      <c r="H212" s="2">
        <v>3</v>
      </c>
      <c r="J212">
        <f t="shared" si="12"/>
        <v>0</v>
      </c>
      <c r="K212">
        <f t="shared" si="13"/>
        <v>0</v>
      </c>
      <c r="L212">
        <f t="shared" si="14"/>
        <v>1</v>
      </c>
      <c r="M212">
        <f t="shared" si="15"/>
        <v>1</v>
      </c>
    </row>
    <row r="213" spans="5:13">
      <c r="E213">
        <v>20002</v>
      </c>
      <c r="F213" s="2">
        <v>5</v>
      </c>
      <c r="G213" s="2">
        <v>9</v>
      </c>
      <c r="H213" s="2">
        <v>6</v>
      </c>
      <c r="J213">
        <f t="shared" si="12"/>
        <v>0</v>
      </c>
      <c r="K213">
        <f t="shared" si="13"/>
        <v>0</v>
      </c>
      <c r="L213">
        <f t="shared" si="14"/>
        <v>0</v>
      </c>
      <c r="M213">
        <f t="shared" si="15"/>
        <v>0</v>
      </c>
    </row>
    <row r="214" spans="5:13">
      <c r="E214">
        <v>20003</v>
      </c>
      <c r="F214" s="2">
        <v>7</v>
      </c>
      <c r="G214" s="2">
        <v>12</v>
      </c>
      <c r="H214" s="2">
        <v>8</v>
      </c>
      <c r="J214">
        <f t="shared" si="12"/>
        <v>0</v>
      </c>
      <c r="K214">
        <f t="shared" si="13"/>
        <v>0</v>
      </c>
      <c r="L214">
        <f t="shared" si="14"/>
        <v>0</v>
      </c>
      <c r="M214">
        <f t="shared" si="15"/>
        <v>0</v>
      </c>
    </row>
    <row r="215" spans="5:13">
      <c r="E215">
        <v>20004</v>
      </c>
      <c r="F215" s="2">
        <v>13</v>
      </c>
      <c r="G215" s="2">
        <v>9</v>
      </c>
      <c r="H215" s="2">
        <v>10</v>
      </c>
      <c r="J215">
        <f t="shared" si="12"/>
        <v>0</v>
      </c>
      <c r="K215">
        <f t="shared" si="13"/>
        <v>0</v>
      </c>
      <c r="L215">
        <f t="shared" si="14"/>
        <v>1</v>
      </c>
      <c r="M215">
        <f t="shared" si="15"/>
        <v>1</v>
      </c>
    </row>
    <row r="216" spans="5:13">
      <c r="E216">
        <v>20005</v>
      </c>
      <c r="F216" s="2">
        <v>16</v>
      </c>
      <c r="G216" s="2">
        <v>20</v>
      </c>
      <c r="H216" s="2">
        <v>11</v>
      </c>
      <c r="J216">
        <f t="shared" si="12"/>
        <v>0</v>
      </c>
      <c r="K216">
        <f t="shared" si="13"/>
        <v>0</v>
      </c>
      <c r="L216">
        <f t="shared" si="14"/>
        <v>1</v>
      </c>
      <c r="M216">
        <f t="shared" si="15"/>
        <v>1</v>
      </c>
    </row>
    <row r="217" spans="5:13">
      <c r="E217">
        <v>20006</v>
      </c>
      <c r="F217" s="2">
        <v>16</v>
      </c>
      <c r="G217" s="2">
        <v>21</v>
      </c>
      <c r="H217" s="2">
        <v>23</v>
      </c>
      <c r="J217">
        <f t="shared" si="12"/>
        <v>0</v>
      </c>
      <c r="K217">
        <f t="shared" si="13"/>
        <v>0</v>
      </c>
      <c r="L217">
        <f t="shared" si="14"/>
        <v>1</v>
      </c>
      <c r="M217">
        <f t="shared" si="15"/>
        <v>1</v>
      </c>
    </row>
    <row r="218" spans="5:13">
      <c r="E218">
        <v>20007</v>
      </c>
      <c r="F218" s="2">
        <v>17</v>
      </c>
      <c r="G218" s="2">
        <v>22</v>
      </c>
      <c r="H218" s="2">
        <v>26</v>
      </c>
      <c r="J218">
        <f t="shared" si="12"/>
        <v>0</v>
      </c>
      <c r="K218">
        <f t="shared" si="13"/>
        <v>0</v>
      </c>
      <c r="L218">
        <f t="shared" si="14"/>
        <v>0</v>
      </c>
      <c r="M218">
        <f t="shared" si="15"/>
        <v>0</v>
      </c>
    </row>
    <row r="219" spans="5:13">
      <c r="E219">
        <v>20008</v>
      </c>
      <c r="F219" s="2">
        <v>18</v>
      </c>
      <c r="G219" s="2">
        <v>24</v>
      </c>
      <c r="H219" s="2">
        <v>28</v>
      </c>
      <c r="J219">
        <f t="shared" si="12"/>
        <v>0</v>
      </c>
      <c r="K219">
        <f t="shared" si="13"/>
        <v>0</v>
      </c>
      <c r="L219">
        <f t="shared" si="14"/>
        <v>1</v>
      </c>
      <c r="M219">
        <f t="shared" si="15"/>
        <v>1</v>
      </c>
    </row>
    <row r="220" spans="5:13">
      <c r="E220">
        <v>20009</v>
      </c>
      <c r="F220" s="2">
        <v>19</v>
      </c>
      <c r="G220" s="2">
        <v>25</v>
      </c>
      <c r="H220" s="2">
        <v>26</v>
      </c>
      <c r="J220">
        <f t="shared" si="12"/>
        <v>0</v>
      </c>
      <c r="K220">
        <f t="shared" si="13"/>
        <v>0</v>
      </c>
      <c r="L220">
        <f t="shared" si="14"/>
        <v>0</v>
      </c>
      <c r="M220">
        <f t="shared" si="15"/>
        <v>0</v>
      </c>
    </row>
    <row r="221" spans="5:13">
      <c r="E221">
        <v>20010</v>
      </c>
      <c r="F221" s="2">
        <v>19</v>
      </c>
      <c r="G221" s="2">
        <v>25</v>
      </c>
      <c r="H221" s="2">
        <v>28</v>
      </c>
      <c r="J221">
        <f t="shared" si="12"/>
        <v>0</v>
      </c>
      <c r="K221">
        <f t="shared" si="13"/>
        <v>0</v>
      </c>
      <c r="L221">
        <f t="shared" si="14"/>
        <v>1</v>
      </c>
      <c r="M221">
        <f t="shared" si="15"/>
        <v>1</v>
      </c>
    </row>
  </sheetData>
  <autoFilter xmlns:etc="http://www.wps.cn/officeDocument/2017/etCustomData" ref="A1:M221" etc:filterBottomFollowUsedRange="0">
    <extLst/>
  </autoFilter>
  <conditionalFormatting sqref="M$1:M$1048576">
    <cfRule type="cellIs" dxfId="0" priority="1" operator="greaterThan">
      <formula>1.5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archer</cp:lastModifiedBy>
  <dcterms:created xsi:type="dcterms:W3CDTF">2025-07-05T18:00:00Z</dcterms:created>
  <dcterms:modified xsi:type="dcterms:W3CDTF">2026-04-30T02:29:35Z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9826112EED4349E78FFFE418D974E6D7_12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