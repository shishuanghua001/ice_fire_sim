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Sheet1!$A$3:$R$483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<sst xmlns="http://schemas.openxmlformats.org/spreadsheetml/2006/main" count="99" uniqueCount="82">
  <si>
    <t>id</t>
  </si>
  <si>
    <t>teamid</t>
  </si>
  <si>
    <t>name</t>
  </si>
  <si>
    <t>keywords</t>
  </si>
  <si>
    <t>description</t>
  </si>
  <si>
    <t>level</t>
  </si>
  <si>
    <t>damageMultiplier</t>
  </si>
  <si>
    <t>damageType</t>
  </si>
  <si>
    <t>cooldown</t>
  </si>
  <si>
    <t>spawnRange</t>
  </si>
  <si>
    <t>penetrationNumber</t>
  </si>
  <si>
    <t>dapNumber</t>
  </si>
  <si>
    <t>consecutiveNumber</t>
  </si>
  <si>
    <t>dapRange</t>
  </si>
  <si>
    <t>range</t>
  </si>
  <si>
    <t>damageRange</t>
  </si>
  <si>
    <t>rangeDamage</t>
  </si>
  <si>
    <t>int</t>
  </si>
  <si>
    <t>string</t>
  </si>
  <si>
    <t>技能id</t>
  </si>
  <si>
    <t>技能组id</t>
  </si>
  <si>
    <t>技能名称</t>
  </si>
  <si>
    <t>技能关键词</t>
  </si>
  <si>
    <t>技能描述</t>
  </si>
  <si>
    <t>技能等级</t>
  </si>
  <si>
    <t>技能基础倍率</t>
  </si>
  <si>
    <t>伤害类型（1.物理；2.土；3.冰；4.火；5.风；6.雷；7.光；8.暗）</t>
  </si>
  <si>
    <t>攻击间隔(s)</t>
  </si>
  <si>
    <t>施法范围(pix)</t>
  </si>
  <si>
    <t>穿透次数（-1表示无限穿透到屏外消失，不填表示0，即碰到一次消失）</t>
  </si>
  <si>
    <t>弹跳次数</t>
  </si>
  <si>
    <t>持续攻击次数</t>
  </si>
  <si>
    <t>弹跳范围</t>
  </si>
  <si>
    <t>技能大小（不填表示技能中心到达目标作用，否则表示技能边缘到达作用）</t>
  </si>
  <si>
    <t>伤害范围（伤害范围大于0时，每次命中敌人都会对范围内敌人造成范围伤害）</t>
  </si>
  <si>
    <t>范围伤害倍率</t>
  </si>
  <si>
    <t>龙晶箭</t>
  </si>
  <si>
    <t>分裂</t>
  </si>
  <si>
    <t>发射直线飞行的龙晶箭，造成物理伤害。</t>
  </si>
  <si>
    <t>炮弹</t>
  </si>
  <si>
    <t>群攻</t>
  </si>
  <si>
    <t>发射巨大的炮弹造成范围伤害。</t>
  </si>
  <si>
    <t>滚石</t>
  </si>
  <si>
    <t>穿透</t>
  </si>
  <si>
    <t>释放滚动的石头，对沿路的敌人造成伤害。</t>
  </si>
  <si>
    <t>岩刺突袭</t>
  </si>
  <si>
    <t>群攻+破防</t>
  </si>
  <si>
    <t>释放尖刺，造成范围伤害和破防效果。</t>
  </si>
  <si>
    <t>冰冻飞斧</t>
  </si>
  <si>
    <t>穿透+减速</t>
  </si>
  <si>
    <t>释放冰冻飞斧，造成穿透伤害和减速效果。</t>
  </si>
  <si>
    <t>冰刃</t>
  </si>
  <si>
    <t>群攻+冰冻</t>
  </si>
  <si>
    <t>释放冰之剑气,造成范围伤害和短暂的冰冻。</t>
  </si>
  <si>
    <t>火球术</t>
  </si>
  <si>
    <t>使用火球产生爆炸，造成范围伤害。</t>
  </si>
  <si>
    <t>龙焰</t>
  </si>
  <si>
    <t>群攻+燃烧</t>
  </si>
  <si>
    <t>持续喷射龙焰，造成击退和伤害。</t>
  </si>
  <si>
    <t>风暴弹</t>
  </si>
  <si>
    <t>穿透+击退</t>
  </si>
  <si>
    <t>快速飞行的子弹，穿透并造成击退效果。</t>
  </si>
  <si>
    <t>龙卷风</t>
  </si>
  <si>
    <t>聚怪</t>
  </si>
  <si>
    <t>召唤随机移动的龙卷风牵引敌人。</t>
  </si>
  <si>
    <t>雷击术</t>
  </si>
  <si>
    <t>溅射+麻痹</t>
  </si>
  <si>
    <t>造成小范围溅射伤害并附带麻痹。</t>
  </si>
  <si>
    <t>闪电链</t>
  </si>
  <si>
    <t>弹射</t>
  </si>
  <si>
    <t>命中最近敌人，能够弹射一定次数。</t>
  </si>
  <si>
    <t>阳光</t>
  </si>
  <si>
    <t>扩散</t>
  </si>
  <si>
    <t>造成持续伤害，杀死怪物后转移至附近敌人。</t>
  </si>
  <si>
    <t>冰霜新星</t>
  </si>
  <si>
    <t>攻击指定范围的敌人，并造成冰冻效果。</t>
  </si>
  <si>
    <t>混沌法球</t>
  </si>
  <si>
    <t>群攻+致盲</t>
  </si>
  <si>
    <t>生成混沌法球，造成范围伤害和致盲。</t>
  </si>
  <si>
    <t>诅咒弹</t>
  </si>
  <si>
    <t>群体减攻</t>
  </si>
  <si>
    <t>释放诅咒弹，减少范围敌人的攻击力。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</si>
</sst>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CFED0"/>
        <bgColor indexed="64"/>
      </patternFill>
    </fill>
    <fill>
      <patternFill patternType="solid">
        <fgColor rgb="FFFFF58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AE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>
      <alignment vertical="center"/>
    </xf>
    <xf numFmtId="44" fontId="0" fillId="0" borderId="0" applyFont="0" applyFill="0" applyBorder="0" applyAlignment="0">
      <alignment vertical="center"/>
    </xf>
    <xf numFmtId="9" fontId="0" fillId="0" borderId="0" applyFont="0" applyFill="0" applyBorder="0" applyAlignment="0">
      <alignment vertical="center"/>
    </xf>
    <xf numFmtId="41" fontId="0" fillId="0" borderId="0" applyFont="0" applyFill="0" applyBorder="0" applyAlignment="0">
      <alignment vertical="center"/>
    </xf>
    <xf numFmtId="42" fontId="0" fillId="0" borderId="0" applyFont="0" applyFill="0" applyBorder="0" applyAlignment="0">
      <alignment vertical="center"/>
    </xf>
    <xf numFmtId="0" fontId="5" fillId="0" borderId="0" applyNumberFormat="0" applyFill="0" applyBorder="0" applyAlignment="0">
      <alignment vertical="center"/>
    </xf>
    <xf numFmtId="0" fontId="6" fillId="0" borderId="0" applyNumberFormat="0" applyFill="0" applyBorder="0" applyAlignment="0">
      <alignment vertical="center"/>
    </xf>
    <xf numFmtId="0" fontId="0" fillId="17" borderId="2" applyNumberFormat="0" applyFont="0" applyAlignment="0">
      <alignment vertical="center"/>
    </xf>
    <xf numFmtId="0" fontId="7" fillId="0" borderId="0" applyNumberFormat="0" applyFill="0" applyBorder="0" applyAlignment="0">
      <alignment vertical="center"/>
    </xf>
    <xf numFmtId="0" fontId="8" fillId="0" borderId="0" applyNumberFormat="0" applyFill="0" applyBorder="0" applyAlignment="0">
      <alignment vertical="center"/>
    </xf>
    <xf numFmtId="0" fontId="9" fillId="0" borderId="0" applyNumberFormat="0" applyFill="0" applyBorder="0" applyAlignment="0">
      <alignment vertical="center"/>
    </xf>
    <xf numFmtId="0" fontId="10" fillId="0" borderId="3" applyNumberFormat="0" applyFill="0" applyAlignment="0">
      <alignment vertical="center"/>
    </xf>
    <xf numFmtId="0" fontId="11" fillId="0" borderId="3" applyNumberFormat="0" applyFill="0" applyAlignment="0">
      <alignment vertical="center"/>
    </xf>
    <xf numFmtId="0" fontId="12" fillId="0" borderId="4" applyNumberFormat="0" applyFill="0" applyAlignment="0">
      <alignment vertical="center"/>
    </xf>
    <xf numFmtId="0" fontId="12" fillId="0" borderId="0" applyNumberFormat="0" applyFill="0" applyBorder="0" applyAlignment="0">
      <alignment vertical="center"/>
    </xf>
    <xf numFmtId="0" fontId="13" fillId="18" borderId="5" applyNumberFormat="0" applyAlignment="0">
      <alignment vertical="center"/>
    </xf>
    <xf numFmtId="0" fontId="14" fillId="19" borderId="6" applyNumberFormat="0" applyAlignment="0">
      <alignment vertical="center"/>
    </xf>
    <xf numFmtId="0" fontId="15" fillId="19" borderId="5" applyNumberFormat="0" applyAlignment="0">
      <alignment vertical="center"/>
    </xf>
    <xf numFmtId="0" fontId="16" fillId="20" borderId="7" applyNumberFormat="0" applyAlignment="0">
      <alignment vertical="center"/>
    </xf>
    <xf numFmtId="0" fontId="17" fillId="0" borderId="8" applyNumberFormat="0" applyFill="0" applyAlignment="0">
      <alignment vertical="center"/>
    </xf>
    <xf numFmtId="0" fontId="18" fillId="0" borderId="9" applyNumberFormat="0" applyFill="0" applyAlignment="0">
      <alignment vertical="center"/>
    </xf>
    <xf numFmtId="0" fontId="19" fillId="21" borderId="0" applyNumberFormat="0" applyBorder="0" applyAlignment="0">
      <alignment vertical="center"/>
    </xf>
    <xf numFmtId="0" fontId="20" fillId="22" borderId="0" applyNumberFormat="0" applyBorder="0" applyAlignment="0">
      <alignment vertical="center"/>
    </xf>
    <xf numFmtId="0" fontId="21" fillId="23" borderId="0" applyNumberFormat="0" applyBorder="0" applyAlignment="0">
      <alignment vertical="center"/>
    </xf>
    <xf numFmtId="0" fontId="22" fillId="24" borderId="0" applyNumberFormat="0" applyBorder="0" applyAlignment="0">
      <alignment vertical="center"/>
    </xf>
    <xf numFmtId="0" fontId="23" fillId="25" borderId="0" applyNumberFormat="0" applyBorder="0" applyAlignment="0">
      <alignment vertical="center"/>
    </xf>
    <xf numFmtId="0" fontId="23" fillId="26" borderId="0" applyNumberFormat="0" applyBorder="0" applyAlignment="0">
      <alignment vertical="center"/>
    </xf>
    <xf numFmtId="0" fontId="22" fillId="27" borderId="0" applyNumberFormat="0" applyBorder="0" applyAlignment="0">
      <alignment vertical="center"/>
    </xf>
    <xf numFmtId="0" fontId="22" fillId="28" borderId="0" applyNumberFormat="0" applyBorder="0" applyAlignment="0">
      <alignment vertical="center"/>
    </xf>
    <xf numFmtId="0" fontId="23" fillId="29" borderId="0" applyNumberFormat="0" applyBorder="0" applyAlignment="0">
      <alignment vertical="center"/>
    </xf>
    <xf numFmtId="0" fontId="23" fillId="30" borderId="0" applyNumberFormat="0" applyBorder="0" applyAlignment="0">
      <alignment vertical="center"/>
    </xf>
    <xf numFmtId="0" fontId="22" fillId="31" borderId="0" applyNumberFormat="0" applyBorder="0" applyAlignment="0">
      <alignment vertical="center"/>
    </xf>
    <xf numFmtId="0" fontId="22" fillId="32" borderId="0" applyNumberFormat="0" applyBorder="0" applyAlignment="0">
      <alignment vertical="center"/>
    </xf>
    <xf numFmtId="0" fontId="23" fillId="33" borderId="0" applyNumberFormat="0" applyBorder="0" applyAlignment="0">
      <alignment vertical="center"/>
    </xf>
    <xf numFmtId="0" fontId="23" fillId="34" borderId="0" applyNumberFormat="0" applyBorder="0" applyAlignment="0">
      <alignment vertical="center"/>
    </xf>
    <xf numFmtId="0" fontId="22" fillId="35" borderId="0" applyNumberFormat="0" applyBorder="0" applyAlignment="0">
      <alignment vertical="center"/>
    </xf>
    <xf numFmtId="0" fontId="22" fillId="36" borderId="0" applyNumberFormat="0" applyBorder="0" applyAlignment="0">
      <alignment vertical="center"/>
    </xf>
    <xf numFmtId="0" fontId="23" fillId="37" borderId="0" applyNumberFormat="0" applyBorder="0" applyAlignment="0">
      <alignment vertical="center"/>
    </xf>
    <xf numFmtId="0" fontId="23" fillId="38" borderId="0" applyNumberFormat="0" applyBorder="0" applyAlignment="0">
      <alignment vertical="center"/>
    </xf>
    <xf numFmtId="0" fontId="22" fillId="39" borderId="0" applyNumberFormat="0" applyBorder="0" applyAlignment="0">
      <alignment vertical="center"/>
    </xf>
    <xf numFmtId="0" fontId="22" fillId="40" borderId="0" applyNumberFormat="0" applyBorder="0" applyAlignment="0">
      <alignment vertical="center"/>
    </xf>
    <xf numFmtId="0" fontId="23" fillId="41" borderId="0" applyNumberFormat="0" applyBorder="0" applyAlignment="0">
      <alignment vertical="center"/>
    </xf>
    <xf numFmtId="0" fontId="23" fillId="42" borderId="0" applyNumberFormat="0" applyBorder="0" applyAlignment="0">
      <alignment vertical="center"/>
    </xf>
    <xf numFmtId="0" fontId="22" fillId="43" borderId="0" applyNumberFormat="0" applyBorder="0" applyAlignment="0">
      <alignment vertical="center"/>
    </xf>
    <xf numFmtId="0" fontId="22" fillId="44" borderId="0" applyNumberFormat="0" applyBorder="0" applyAlignment="0">
      <alignment vertical="center"/>
    </xf>
    <xf numFmtId="0" fontId="23" fillId="45" borderId="0" applyNumberFormat="0" applyBorder="0" applyAlignment="0">
      <alignment vertical="center"/>
    </xf>
    <xf numFmtId="0" fontId="23" fillId="46" borderId="0" applyNumberFormat="0" applyBorder="0" applyAlignment="0">
      <alignment vertical="center"/>
    </xf>
    <xf numFmtId="0" fontId="22" fillId="47" borderId="0" applyNumberFormat="0" applyBorder="0" applyAlignment="0">
      <alignment vertical="center"/>
    </xf>
  </cellStyleXfs>
  <cellXfs count="51">
    <xf numFmtId="0" fontId="0" fillId="0" borderId="0" xfId="0" applyFill="1">
      <alignment vertical="center"/>
    </xf>
    <xf numFmtId="0" fontId="0" fillId="2" borderId="0" xfId="0" applyNumberFormat="1" applyFill="1" applyBorder="1" applyAlignment="1">
      <alignment vertical="center"/>
    </xf>
    <xf numFmtId="0" fontId="0" fillId="3" borderId="0" xfId="0" applyNumberFormat="1" applyFill="1" applyBorder="1" applyAlignment="1">
      <alignment vertical="center"/>
    </xf>
    <xf numFmtId="0" fontId="0" fillId="4" borderId="0" xfId="0" applyNumberFormat="1" applyFill="1" applyBorder="1" applyAlignment="1">
      <alignment vertical="center"/>
    </xf>
    <xf numFmtId="0" fontId="0" fillId="5" borderId="0" xfId="0" applyNumberFormat="1" applyFill="1" applyBorder="1" applyAlignment="1">
      <alignment vertical="center"/>
    </xf>
    <xf numFmtId="0" fontId="0" fillId="6" borderId="0" xfId="0" applyNumberFormat="1" applyFill="1" applyBorder="1" applyAlignment="1">
      <alignment vertical="center"/>
    </xf>
    <xf numFmtId="0" fontId="0" fillId="7" borderId="0" xfId="0" applyNumberFormat="1" applyFill="1" applyBorder="1" applyAlignment="1">
      <alignment vertical="center"/>
    </xf>
    <xf numFmtId="0" fontId="0" fillId="8" borderId="0" xfId="0" applyNumberFormat="1" applyFill="1" applyBorder="1" applyAlignment="1">
      <alignment vertical="center"/>
    </xf>
    <xf numFmtId="0" fontId="0" fillId="9" borderId="0" xfId="0" applyNumberFormat="1" applyFill="1" applyBorder="1" applyAlignment="1">
      <alignment vertical="center"/>
    </xf>
    <xf numFmtId="0" fontId="0" fillId="10" borderId="0" xfId="0" applyNumberFormat="1" applyFill="1" applyBorder="1" applyAlignment="1">
      <alignment vertical="center"/>
    </xf>
    <xf numFmtId="0" fontId="0" fillId="11" borderId="0" xfId="0" applyNumberFormat="1" applyFill="1" applyBorder="1" applyAlignment="1">
      <alignment vertical="center"/>
    </xf>
    <xf numFmtId="0" fontId="0" fillId="12" borderId="0" xfId="0" applyNumberFormat="1" applyFill="1" applyBorder="1" applyAlignment="1">
      <alignment vertical="center"/>
    </xf>
    <xf numFmtId="0" fontId="0" fillId="13" borderId="0" xfId="0" applyNumberFormat="1" applyFill="1" applyBorder="1" applyAlignment="1">
      <alignment vertical="center"/>
    </xf>
    <xf numFmtId="0" fontId="0" fillId="14" borderId="0" xfId="0" applyNumberFormat="1" applyFill="1" applyBorder="1" applyAlignment="1">
      <alignment vertical="center"/>
    </xf>
    <xf numFmtId="0" fontId="0" fillId="15" borderId="0" xfId="0" applyNumberFormat="1" applyFill="1" applyBorder="1" applyAlignment="1">
      <alignment vertical="center"/>
    </xf>
    <xf numFmtId="0" fontId="0" fillId="16" borderId="0" xfId="0" applyNumberFormat="1" applyFill="1" applyBorder="1" applyAlignment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6" borderId="0" xfId="0" applyFont="1" applyFill="1">
      <alignment vertical="center"/>
    </xf>
    <xf numFmtId="0" fontId="0" fillId="6" borderId="0" xfId="0" applyFill="1">
      <alignment vertical="center"/>
    </xf>
    <xf numFmtId="0" fontId="3" fillId="6" borderId="1" xfId="0" applyFont="1" applyFill="1" applyBorder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3" fillId="9" borderId="0" xfId="0" applyFont="1" applyFill="1">
      <alignment vertical="center"/>
    </xf>
    <xf numFmtId="0" fontId="3" fillId="9" borderId="1" xfId="0" applyFont="1" applyFill="1" applyBorder="1">
      <alignment vertical="center"/>
    </xf>
    <xf numFmtId="0" fontId="0" fillId="10" borderId="0" xfId="0" applyFill="1">
      <alignment vertical="center"/>
    </xf>
    <xf numFmtId="0" fontId="3" fillId="10" borderId="1" xfId="0" applyFont="1" applyFill="1" applyBorder="1">
      <alignment vertical="center"/>
    </xf>
    <xf numFmtId="0" fontId="0" fillId="11" borderId="0" xfId="0" applyFill="1">
      <alignment vertical="center"/>
    </xf>
    <xf numFmtId="0" fontId="4" fillId="11" borderId="0" xfId="0" applyFont="1" applyFill="1" applyAlignment="1">
      <alignment vertical="center" wrapText="1"/>
    </xf>
    <xf numFmtId="0" fontId="0" fillId="12" borderId="0" xfId="0" applyFill="1">
      <alignment vertical="center"/>
    </xf>
    <xf numFmtId="0" fontId="3" fillId="12" borderId="0" xfId="0" applyFont="1" applyFill="1">
      <alignment vertical="center"/>
    </xf>
    <xf numFmtId="0" fontId="3" fillId="12" borderId="1" xfId="0" applyFont="1" applyFill="1" applyBorder="1">
      <alignment vertical="center"/>
    </xf>
    <xf numFmtId="0" fontId="0" fillId="13" borderId="0" xfId="0" applyFill="1">
      <alignment vertical="center"/>
    </xf>
    <xf numFmtId="0" fontId="4" fillId="13" borderId="0" xfId="0" applyFont="1" applyFill="1" applyAlignment="1">
      <alignment vertical="center" wrapText="1"/>
    </xf>
    <xf numFmtId="0" fontId="0" fillId="14" borderId="0" xfId="0" applyFill="1">
      <alignment vertical="center"/>
    </xf>
    <xf numFmtId="0" fontId="3" fillId="14" borderId="0" xfId="0" applyFont="1" applyFill="1">
      <alignment vertical="center"/>
    </xf>
    <xf numFmtId="0" fontId="3" fillId="14" borderId="1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0" fontId="0" fillId="15" borderId="0" xfId="0" applyNumberFormat="1" applyFill="1" applyAlignment="1">
      <alignment vertical="center"/>
    </xf>
    <xf numFmtId="0" fontId="3" fillId="15" borderId="1" xfId="0" applyFont="1" applyFill="1" applyBorder="1">
      <alignment vertical="center"/>
    </xf>
    <xf numFmtId="0" fontId="3" fillId="16" borderId="1" xfId="0" applyFont="1" applyFill="1" applyBorder="1">
      <alignment vertical="center"/>
    </xf>
    <xf numFmtId="0" fontId="0" fillId="16" borderId="0" xfId="0" applyFill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83"/>
  <sheetViews>
    <sheetView tabSelected="1" workbookViewId="0">
      <pane xSplit="3" ySplit="3" topLeftCell="D320" activePane="bottomRight" state="frozen"/>
      <selection/>
      <selection pane="topRight"/>
      <selection pane="bottomLeft"/>
      <selection pane="bottomRight" activeCell="I334" sqref="I334"/>
    </sheetView>
  </sheetViews>
  <sheetFormatPr defaultColWidth="9" defaultRowHeight="13.5"/>
  <cols>
    <col min="1" max="1" width="7.55" customWidth="1"/>
    <col min="2" max="3" width="9.55" customWidth="1"/>
    <col min="4" max="4" width="11.875" customWidth="1"/>
    <col min="5" max="5" width="15.875" customWidth="1"/>
    <col min="6" max="6" width="9.55" customWidth="1"/>
    <col min="7" max="7" width="17.75" customWidth="1"/>
    <col min="8" max="9" width="12.9166666666667" customWidth="1"/>
    <col min="10" max="10" width="15.1833333333333" customWidth="1"/>
    <col min="11" max="11" width="19.6333333333333" customWidth="1"/>
    <col min="12" max="12" width="10.6333333333333" customWidth="1"/>
    <col min="13" max="13" width="14" customWidth="1"/>
    <col min="14" max="15" width="10.6333333333333" customWidth="1"/>
    <col min="16" max="16" width="21.8166666666667" customWidth="1"/>
    <col min="17" max="17" width="12.9166666666667" customWidth="1"/>
  </cols>
  <sheetData>
    <row r="1" s="1" customFormat="1" spans="1:1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7" t="s">
        <v>14</v>
      </c>
      <c r="P1" s="16" t="s">
        <v>15</v>
      </c>
      <c r="Q1" s="16" t="s">
        <v>16</v>
      </c>
    </row>
    <row r="2" s="1" customFormat="1" spans="1:18">
      <c r="A2" s="16" t="s">
        <v>17</v>
      </c>
      <c r="B2" s="16" t="s">
        <v>17</v>
      </c>
      <c r="C2" s="16" t="s">
        <v>18</v>
      </c>
      <c r="D2" s="16" t="s">
        <v>18</v>
      </c>
      <c r="E2" s="16" t="s">
        <v>18</v>
      </c>
      <c r="F2" s="16" t="s">
        <v>17</v>
      </c>
      <c r="G2" s="16" t="s">
        <v>17</v>
      </c>
      <c r="H2" s="16" t="s">
        <v>17</v>
      </c>
      <c r="I2" s="16" t="s">
        <v>17</v>
      </c>
      <c r="J2" s="16" t="s">
        <v>17</v>
      </c>
      <c r="K2" s="16" t="s">
        <v>17</v>
      </c>
      <c r="L2" s="16" t="s">
        <v>17</v>
      </c>
      <c r="M2" s="16" t="s">
        <v>17</v>
      </c>
      <c r="N2" s="16" t="s">
        <v>17</v>
      </c>
      <c r="O2" s="17" t="s">
        <v>17</v>
      </c>
      <c r="P2" s="16" t="s">
        <v>17</v>
      </c>
      <c r="Q2" s="16" t="s">
        <v>17</v>
      </c>
    </row>
    <row r="3" s="1" customFormat="1" ht="54" spans="1:18">
      <c r="A3" s="16" t="s">
        <v>19</v>
      </c>
      <c r="B3" s="16" t="s">
        <v>20</v>
      </c>
      <c r="C3" s="16" t="s">
        <v>21</v>
      </c>
      <c r="D3" s="18" t="s">
        <v>22</v>
      </c>
      <c r="E3" s="16" t="s">
        <v>23</v>
      </c>
      <c r="F3" s="16" t="s">
        <v>24</v>
      </c>
      <c r="G3" s="18" t="s">
        <v>25</v>
      </c>
      <c r="H3" s="16" t="s">
        <v>26</v>
      </c>
      <c r="I3" s="16" t="s">
        <v>27</v>
      </c>
      <c r="J3" s="16" t="s">
        <v>28</v>
      </c>
      <c r="K3" s="19" t="s">
        <v>29</v>
      </c>
      <c r="L3" s="20" t="s">
        <v>30</v>
      </c>
      <c r="M3" s="16" t="s">
        <v>31</v>
      </c>
      <c r="N3" s="16" t="s">
        <v>32</v>
      </c>
      <c r="O3" s="17" t="s">
        <v>33</v>
      </c>
      <c r="P3" s="20" t="s">
        <v>34</v>
      </c>
      <c r="Q3" s="18" t="s">
        <v>35</v>
      </c>
    </row>
    <row r="4" s="2" customFormat="1" spans="1:18">
      <c r="A4" s="21">
        <v>101001</v>
      </c>
      <c r="B4" s="21">
        <v>101</v>
      </c>
      <c r="C4" s="21" t="s">
        <v>36</v>
      </c>
      <c r="D4" s="21" t="s">
        <v>37</v>
      </c>
      <c r="E4" s="21" t="s">
        <v>38</v>
      </c>
      <c r="F4" s="21">
        <v>1</v>
      </c>
      <c r="G4" s="21">
        <v>0.5</v>
      </c>
      <c r="H4" s="21">
        <v>1</v>
      </c>
      <c r="I4" s="21">
        <v>2</v>
      </c>
      <c r="J4" s="21">
        <v>1200</v>
      </c>
      <c r="K4" s="21"/>
      <c r="L4" s="21"/>
      <c r="M4" s="21"/>
      <c r="N4" s="21"/>
      <c r="O4" s="21"/>
      <c r="P4" s="21"/>
      <c r="Q4" s="21">
        <v>0</v>
      </c>
      <c r="R4" s="3"/>
    </row>
    <row r="5" s="2" customFormat="1" spans="1:18">
      <c r="A5" s="21">
        <v>101002</v>
      </c>
      <c r="B5" s="21">
        <v>101</v>
      </c>
      <c r="C5" s="21"/>
      <c r="D5" s="21"/>
      <c r="E5" s="21"/>
      <c r="F5" s="21">
        <v>2</v>
      </c>
      <c r="G5" s="21">
        <f>ROUNDUP(G4*1.08,2)</f>
        <v>0.54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3"/>
    </row>
    <row r="6" s="2" customFormat="1" spans="1:18">
      <c r="A6" s="21">
        <v>101003</v>
      </c>
      <c r="B6" s="21">
        <v>101</v>
      </c>
      <c r="C6" s="21"/>
      <c r="D6" s="21"/>
      <c r="E6" s="21"/>
      <c r="F6" s="21">
        <v>3</v>
      </c>
      <c r="G6" s="21">
        <f t="shared" ref="G6:G23" si="0">ROUNDUP(G5*1.08,2)</f>
        <v>0.59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3"/>
    </row>
    <row r="7" s="2" customFormat="1" spans="1:18">
      <c r="A7" s="21">
        <v>101004</v>
      </c>
      <c r="B7" s="21">
        <v>101</v>
      </c>
      <c r="C7" s="21"/>
      <c r="D7" s="21"/>
      <c r="E7" s="21"/>
      <c r="F7" s="21">
        <v>4</v>
      </c>
      <c r="G7" s="21">
        <f t="shared" si="0"/>
        <v>0.64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3"/>
    </row>
    <row r="8" s="2" customFormat="1" spans="1:18">
      <c r="A8" s="21">
        <v>101005</v>
      </c>
      <c r="B8" s="21">
        <v>101</v>
      </c>
      <c r="C8" s="21"/>
      <c r="D8" s="21"/>
      <c r="E8" s="21"/>
      <c r="F8" s="21">
        <v>5</v>
      </c>
      <c r="G8" s="21">
        <f t="shared" si="0"/>
        <v>0.7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3"/>
    </row>
    <row r="9" s="2" customFormat="1" spans="1:18">
      <c r="A9" s="21">
        <v>101006</v>
      </c>
      <c r="B9" s="21">
        <v>101</v>
      </c>
      <c r="C9" s="21"/>
      <c r="D9" s="21"/>
      <c r="E9" s="21"/>
      <c r="F9" s="21">
        <v>6</v>
      </c>
      <c r="G9" s="21">
        <f t="shared" si="0"/>
        <v>0.76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3"/>
    </row>
    <row r="10" s="2" customFormat="1" spans="1:18">
      <c r="A10" s="21">
        <v>101007</v>
      </c>
      <c r="B10" s="21">
        <v>101</v>
      </c>
      <c r="C10" s="21"/>
      <c r="D10" s="21"/>
      <c r="E10" s="21"/>
      <c r="F10" s="21">
        <v>7</v>
      </c>
      <c r="G10" s="21">
        <f t="shared" si="0"/>
        <v>0.83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3"/>
    </row>
    <row r="11" s="2" customFormat="1" spans="1:18">
      <c r="A11" s="21">
        <v>101008</v>
      </c>
      <c r="B11" s="21">
        <v>101</v>
      </c>
      <c r="C11" s="21"/>
      <c r="D11" s="21"/>
      <c r="E11" s="21"/>
      <c r="F11" s="21">
        <v>8</v>
      </c>
      <c r="G11" s="21">
        <f t="shared" si="0"/>
        <v>0.9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3"/>
    </row>
    <row r="12" s="2" customFormat="1" spans="1:18">
      <c r="A12" s="21">
        <v>101009</v>
      </c>
      <c r="B12" s="21">
        <v>101</v>
      </c>
      <c r="C12" s="21"/>
      <c r="D12" s="21"/>
      <c r="E12" s="21"/>
      <c r="F12" s="21">
        <v>9</v>
      </c>
      <c r="G12" s="21">
        <f t="shared" si="0"/>
        <v>0.98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3"/>
    </row>
    <row r="13" s="2" customFormat="1" spans="1:18">
      <c r="A13" s="21">
        <v>101010</v>
      </c>
      <c r="B13" s="21">
        <v>101</v>
      </c>
      <c r="C13" s="21"/>
      <c r="D13" s="21"/>
      <c r="E13" s="21"/>
      <c r="F13" s="21">
        <v>10</v>
      </c>
      <c r="G13" s="21">
        <f t="shared" si="0"/>
        <v>1.06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3"/>
    </row>
    <row r="14" s="2" customFormat="1" spans="1:18">
      <c r="A14" s="21">
        <v>101011</v>
      </c>
      <c r="B14" s="21">
        <v>101</v>
      </c>
      <c r="C14" s="21"/>
      <c r="D14" s="21"/>
      <c r="E14" s="21"/>
      <c r="F14" s="21">
        <v>11</v>
      </c>
      <c r="G14" s="21">
        <f t="shared" si="0"/>
        <v>1.15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3"/>
    </row>
    <row r="15" s="2" customFormat="1" spans="1:18">
      <c r="A15" s="21">
        <v>101012</v>
      </c>
      <c r="B15" s="21">
        <v>101</v>
      </c>
      <c r="C15" s="21"/>
      <c r="D15" s="21"/>
      <c r="E15" s="21"/>
      <c r="F15" s="21">
        <v>12</v>
      </c>
      <c r="G15" s="21">
        <f t="shared" si="0"/>
        <v>1.25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3"/>
    </row>
    <row r="16" s="2" customFormat="1" spans="1:18">
      <c r="A16" s="21">
        <v>101013</v>
      </c>
      <c r="B16" s="21">
        <v>101</v>
      </c>
      <c r="C16" s="21"/>
      <c r="D16" s="21"/>
      <c r="E16" s="21"/>
      <c r="F16" s="21">
        <v>13</v>
      </c>
      <c r="G16" s="21">
        <f t="shared" si="0"/>
        <v>1.35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3"/>
    </row>
    <row r="17" s="2" customFormat="1" spans="1:18">
      <c r="A17" s="21">
        <v>101014</v>
      </c>
      <c r="B17" s="21">
        <v>101</v>
      </c>
      <c r="C17" s="21"/>
      <c r="D17" s="21"/>
      <c r="E17" s="21"/>
      <c r="F17" s="21">
        <v>14</v>
      </c>
      <c r="G17" s="21">
        <f t="shared" si="0"/>
        <v>1.46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3"/>
    </row>
    <row r="18" s="2" customFormat="1" spans="1:18">
      <c r="A18" s="21">
        <v>101015</v>
      </c>
      <c r="B18" s="21">
        <v>101</v>
      </c>
      <c r="C18" s="21"/>
      <c r="D18" s="21"/>
      <c r="E18" s="21"/>
      <c r="F18" s="21">
        <v>15</v>
      </c>
      <c r="G18" s="21">
        <f t="shared" si="0"/>
        <v>1.58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3"/>
    </row>
    <row r="19" s="2" customFormat="1" spans="1:18">
      <c r="A19" s="21">
        <v>101016</v>
      </c>
      <c r="B19" s="21">
        <v>101</v>
      </c>
      <c r="C19" s="21"/>
      <c r="D19" s="21"/>
      <c r="E19" s="21"/>
      <c r="F19" s="21">
        <v>16</v>
      </c>
      <c r="G19" s="21">
        <f t="shared" si="0"/>
        <v>1.71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3"/>
    </row>
    <row r="20" s="2" customFormat="1" spans="1:18">
      <c r="A20" s="21">
        <v>101017</v>
      </c>
      <c r="B20" s="21">
        <v>101</v>
      </c>
      <c r="C20" s="21"/>
      <c r="D20" s="21"/>
      <c r="E20" s="21"/>
      <c r="F20" s="21">
        <v>17</v>
      </c>
      <c r="G20" s="21">
        <f t="shared" si="0"/>
        <v>1.85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3"/>
    </row>
    <row r="21" s="2" customFormat="1" spans="1:18">
      <c r="A21" s="21">
        <v>101018</v>
      </c>
      <c r="B21" s="21">
        <v>101</v>
      </c>
      <c r="C21" s="21"/>
      <c r="D21" s="21"/>
      <c r="E21" s="21"/>
      <c r="F21" s="21">
        <v>18</v>
      </c>
      <c r="G21" s="21">
        <f t="shared" si="0"/>
        <v>2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3"/>
    </row>
    <row r="22" s="2" customFormat="1" spans="1:18">
      <c r="A22" s="21">
        <v>101019</v>
      </c>
      <c r="B22" s="21">
        <v>101</v>
      </c>
      <c r="C22" s="21"/>
      <c r="D22" s="21"/>
      <c r="E22" s="21"/>
      <c r="F22" s="21">
        <v>19</v>
      </c>
      <c r="G22" s="21">
        <f t="shared" si="0"/>
        <v>2.16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3"/>
    </row>
    <row r="23" s="2" customFormat="1" spans="1:18">
      <c r="A23" s="21">
        <v>101020</v>
      </c>
      <c r="B23" s="21">
        <v>101</v>
      </c>
      <c r="C23" s="21"/>
      <c r="D23" s="21"/>
      <c r="E23" s="21"/>
      <c r="F23" s="21">
        <v>20</v>
      </c>
      <c r="G23" s="21">
        <f t="shared" si="0"/>
        <v>2.34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3"/>
    </row>
    <row r="24" s="3" customFormat="1" spans="1:18">
      <c r="A24" s="21">
        <v>101021</v>
      </c>
      <c r="B24" s="21">
        <v>101</v>
      </c>
      <c r="C24" s="22"/>
      <c r="D24" s="22"/>
      <c r="E24" s="22"/>
      <c r="F24" s="21">
        <v>21</v>
      </c>
      <c r="G24" s="21">
        <f t="shared" ref="G24:G33" si="1">ROUNDUP(G23*1.08,2)</f>
        <v>2.53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</row>
    <row r="25" s="3" customFormat="1" spans="1:18">
      <c r="A25" s="21">
        <v>101022</v>
      </c>
      <c r="B25" s="21">
        <v>101</v>
      </c>
      <c r="C25" s="22"/>
      <c r="D25" s="22"/>
      <c r="E25" s="22"/>
      <c r="F25" s="21">
        <v>22</v>
      </c>
      <c r="G25" s="21">
        <f t="shared" si="1"/>
        <v>2.74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</row>
    <row r="26" s="3" customFormat="1" spans="1:18">
      <c r="A26" s="21">
        <v>101023</v>
      </c>
      <c r="B26" s="21">
        <v>101</v>
      </c>
      <c r="C26" s="22"/>
      <c r="D26" s="22"/>
      <c r="E26" s="22"/>
      <c r="F26" s="21">
        <v>23</v>
      </c>
      <c r="G26" s="21">
        <f t="shared" si="1"/>
        <v>2.96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="3" customFormat="1" spans="1:18">
      <c r="A27" s="21">
        <v>101024</v>
      </c>
      <c r="B27" s="21">
        <v>101</v>
      </c>
      <c r="C27" s="22"/>
      <c r="D27" s="22"/>
      <c r="E27" s="22"/>
      <c r="F27" s="21">
        <v>24</v>
      </c>
      <c r="G27" s="21">
        <f t="shared" si="1"/>
        <v>3.2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</row>
    <row r="28" s="3" customFormat="1" spans="1:18">
      <c r="A28" s="21">
        <v>101025</v>
      </c>
      <c r="B28" s="21">
        <v>101</v>
      </c>
      <c r="C28" s="22"/>
      <c r="D28" s="22"/>
      <c r="E28" s="22"/>
      <c r="F28" s="21">
        <v>25</v>
      </c>
      <c r="G28" s="21">
        <f t="shared" si="1"/>
        <v>3.46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="3" customFormat="1" spans="1:18">
      <c r="A29" s="21">
        <v>101026</v>
      </c>
      <c r="B29" s="21">
        <v>101</v>
      </c>
      <c r="C29" s="22"/>
      <c r="D29" s="22"/>
      <c r="E29" s="22"/>
      <c r="F29" s="21">
        <v>26</v>
      </c>
      <c r="G29" s="21">
        <f t="shared" si="1"/>
        <v>3.74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</row>
    <row r="30" s="3" customFormat="1" spans="1:18">
      <c r="A30" s="21">
        <v>101027</v>
      </c>
      <c r="B30" s="21">
        <v>101</v>
      </c>
      <c r="C30" s="22"/>
      <c r="D30" s="22"/>
      <c r="E30" s="22"/>
      <c r="F30" s="21">
        <v>27</v>
      </c>
      <c r="G30" s="21">
        <f t="shared" si="1"/>
        <v>4.04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</row>
    <row r="31" s="3" customFormat="1" spans="1:18">
      <c r="A31" s="21">
        <v>101028</v>
      </c>
      <c r="B31" s="21">
        <v>101</v>
      </c>
      <c r="C31" s="22"/>
      <c r="D31" s="22"/>
      <c r="E31" s="22"/>
      <c r="F31" s="21">
        <v>28</v>
      </c>
      <c r="G31" s="21">
        <f t="shared" si="1"/>
        <v>4.37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</row>
    <row r="32" s="3" customFormat="1" spans="1:18">
      <c r="A32" s="21">
        <v>101029</v>
      </c>
      <c r="B32" s="21">
        <v>101</v>
      </c>
      <c r="C32" s="22"/>
      <c r="D32" s="22"/>
      <c r="E32" s="22"/>
      <c r="F32" s="21">
        <v>29</v>
      </c>
      <c r="G32" s="21">
        <f t="shared" si="1"/>
        <v>4.72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</row>
    <row r="33" s="3" customFormat="1" spans="1:17">
      <c r="A33" s="21">
        <v>101030</v>
      </c>
      <c r="B33" s="21">
        <v>101</v>
      </c>
      <c r="C33" s="22"/>
      <c r="D33" s="22"/>
      <c r="E33" s="22"/>
      <c r="F33" s="21">
        <v>30</v>
      </c>
      <c r="G33" s="21">
        <f t="shared" si="1"/>
        <v>5.1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</row>
    <row r="34" s="3" customFormat="1" spans="1:17">
      <c r="A34" s="22">
        <v>102001</v>
      </c>
      <c r="B34" s="22">
        <v>102</v>
      </c>
      <c r="C34" s="22" t="s">
        <v>39</v>
      </c>
      <c r="D34" s="22" t="s">
        <v>40</v>
      </c>
      <c r="E34" s="22" t="s">
        <v>41</v>
      </c>
      <c r="F34" s="22">
        <v>1</v>
      </c>
      <c r="G34" s="21"/>
      <c r="H34" s="22">
        <v>1</v>
      </c>
      <c r="I34" s="22">
        <v>4</v>
      </c>
      <c r="J34" s="22">
        <v>800</v>
      </c>
      <c r="K34" s="22"/>
      <c r="L34" s="22"/>
      <c r="M34" s="22"/>
      <c r="N34" s="22"/>
      <c r="O34" s="22"/>
      <c r="P34" s="22">
        <v>130</v>
      </c>
      <c r="Q34" s="22">
        <v>0.7</v>
      </c>
    </row>
    <row r="35" s="3" customFormat="1" spans="1:17">
      <c r="A35" s="22">
        <v>102002</v>
      </c>
      <c r="B35" s="22">
        <v>102</v>
      </c>
      <c r="C35" s="22"/>
      <c r="D35" s="22"/>
      <c r="E35" s="22"/>
      <c r="F35" s="22">
        <v>2</v>
      </c>
      <c r="G35" s="21"/>
      <c r="H35" s="22"/>
      <c r="I35" s="22"/>
      <c r="J35" s="22"/>
      <c r="K35" s="22"/>
      <c r="L35" s="22"/>
      <c r="M35" s="22"/>
      <c r="N35" s="22"/>
      <c r="O35" s="22"/>
      <c r="P35" s="22"/>
      <c r="Q35" s="21">
        <f>ROUNDUP(Q34*1.08,2)</f>
        <v>0.76</v>
      </c>
    </row>
    <row r="36" s="3" customFormat="1" spans="1:17">
      <c r="A36" s="22">
        <v>102003</v>
      </c>
      <c r="B36" s="22">
        <v>102</v>
      </c>
      <c r="C36" s="22"/>
      <c r="D36" s="22"/>
      <c r="E36" s="22"/>
      <c r="F36" s="22">
        <v>3</v>
      </c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1">
        <f t="shared" ref="Q36:Q53" si="2">ROUNDUP(Q35*1.08,2)</f>
        <v>0.83</v>
      </c>
    </row>
    <row r="37" s="3" customFormat="1" spans="1:17">
      <c r="A37" s="22">
        <v>102004</v>
      </c>
      <c r="B37" s="22">
        <v>102</v>
      </c>
      <c r="C37" s="22"/>
      <c r="D37" s="22"/>
      <c r="E37" s="22"/>
      <c r="F37" s="22">
        <v>4</v>
      </c>
      <c r="G37" s="21"/>
      <c r="H37" s="22"/>
      <c r="I37" s="22"/>
      <c r="J37" s="22"/>
      <c r="K37" s="22"/>
      <c r="L37" s="22"/>
      <c r="M37" s="22"/>
      <c r="N37" s="22"/>
      <c r="O37" s="22"/>
      <c r="P37" s="22"/>
      <c r="Q37" s="21">
        <f t="shared" si="2"/>
        <v>0.9</v>
      </c>
    </row>
    <row r="38" s="3" customFormat="1" spans="1:17">
      <c r="A38" s="22">
        <v>102005</v>
      </c>
      <c r="B38" s="22">
        <v>102</v>
      </c>
      <c r="C38" s="22"/>
      <c r="D38" s="22"/>
      <c r="E38" s="22"/>
      <c r="F38" s="22">
        <v>5</v>
      </c>
      <c r="G38" s="21"/>
      <c r="H38" s="22"/>
      <c r="I38" s="22"/>
      <c r="J38" s="22"/>
      <c r="K38" s="22"/>
      <c r="L38" s="22"/>
      <c r="M38" s="22"/>
      <c r="N38" s="22"/>
      <c r="O38" s="22"/>
      <c r="P38" s="22"/>
      <c r="Q38" s="21">
        <f t="shared" si="2"/>
        <v>0.98</v>
      </c>
    </row>
    <row r="39" s="3" customFormat="1" spans="1:17">
      <c r="A39" s="22">
        <v>102006</v>
      </c>
      <c r="B39" s="22">
        <v>102</v>
      </c>
      <c r="C39" s="22"/>
      <c r="D39" s="22"/>
      <c r="E39" s="22"/>
      <c r="F39" s="22">
        <v>6</v>
      </c>
      <c r="G39" s="21"/>
      <c r="H39" s="22"/>
      <c r="I39" s="22"/>
      <c r="J39" s="22"/>
      <c r="K39" s="22"/>
      <c r="L39" s="22"/>
      <c r="M39" s="22"/>
      <c r="N39" s="22"/>
      <c r="O39" s="22"/>
      <c r="P39" s="22"/>
      <c r="Q39" s="21">
        <f t="shared" si="2"/>
        <v>1.06</v>
      </c>
    </row>
    <row r="40" s="3" customFormat="1" spans="1:17">
      <c r="A40" s="22">
        <v>102007</v>
      </c>
      <c r="B40" s="22">
        <v>102</v>
      </c>
      <c r="C40" s="22"/>
      <c r="D40" s="22"/>
      <c r="E40" s="22"/>
      <c r="F40" s="22">
        <v>7</v>
      </c>
      <c r="G40" s="21"/>
      <c r="H40" s="22"/>
      <c r="I40" s="22"/>
      <c r="J40" s="22"/>
      <c r="K40" s="22"/>
      <c r="L40" s="22"/>
      <c r="M40" s="22"/>
      <c r="N40" s="22"/>
      <c r="O40" s="22"/>
      <c r="P40" s="22"/>
      <c r="Q40" s="21">
        <f t="shared" si="2"/>
        <v>1.15</v>
      </c>
    </row>
    <row r="41" s="3" customFormat="1" spans="1:17">
      <c r="A41" s="22">
        <v>102008</v>
      </c>
      <c r="B41" s="22">
        <v>102</v>
      </c>
      <c r="C41" s="22"/>
      <c r="D41" s="22"/>
      <c r="E41" s="22"/>
      <c r="F41" s="22">
        <v>8</v>
      </c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1">
        <f t="shared" si="2"/>
        <v>1.25</v>
      </c>
    </row>
    <row r="42" s="3" customFormat="1" spans="1:17">
      <c r="A42" s="22">
        <v>102009</v>
      </c>
      <c r="B42" s="22">
        <v>102</v>
      </c>
      <c r="C42" s="22"/>
      <c r="D42" s="22"/>
      <c r="E42" s="22"/>
      <c r="F42" s="22">
        <v>9</v>
      </c>
      <c r="G42" s="21"/>
      <c r="H42" s="22"/>
      <c r="I42" s="22"/>
      <c r="J42" s="22"/>
      <c r="K42" s="22"/>
      <c r="L42" s="22"/>
      <c r="M42" s="22"/>
      <c r="N42" s="22"/>
      <c r="O42" s="22"/>
      <c r="P42" s="22"/>
      <c r="Q42" s="21">
        <f t="shared" si="2"/>
        <v>1.35</v>
      </c>
    </row>
    <row r="43" s="3" customFormat="1" spans="1:17">
      <c r="A43" s="22">
        <v>102010</v>
      </c>
      <c r="B43" s="22">
        <v>102</v>
      </c>
      <c r="C43" s="22"/>
      <c r="D43" s="22"/>
      <c r="E43" s="22"/>
      <c r="F43" s="22">
        <v>10</v>
      </c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1">
        <f t="shared" si="2"/>
        <v>1.46</v>
      </c>
    </row>
    <row r="44" s="3" customFormat="1" spans="1:17">
      <c r="A44" s="22">
        <v>102011</v>
      </c>
      <c r="B44" s="22">
        <v>102</v>
      </c>
      <c r="C44" s="22"/>
      <c r="D44" s="22"/>
      <c r="E44" s="22"/>
      <c r="F44" s="22">
        <v>11</v>
      </c>
      <c r="G44" s="21"/>
      <c r="H44" s="22"/>
      <c r="I44" s="22"/>
      <c r="J44" s="22"/>
      <c r="K44" s="22"/>
      <c r="L44" s="22"/>
      <c r="M44" s="22"/>
      <c r="N44" s="22"/>
      <c r="O44" s="22"/>
      <c r="P44" s="22"/>
      <c r="Q44" s="21">
        <f t="shared" si="2"/>
        <v>1.58</v>
      </c>
    </row>
    <row r="45" s="3" customFormat="1" spans="1:17">
      <c r="A45" s="22">
        <v>102012</v>
      </c>
      <c r="B45" s="22">
        <v>102</v>
      </c>
      <c r="C45" s="22"/>
      <c r="D45" s="22"/>
      <c r="E45" s="22"/>
      <c r="F45" s="22">
        <v>12</v>
      </c>
      <c r="G45" s="21"/>
      <c r="H45" s="22"/>
      <c r="I45" s="22"/>
      <c r="J45" s="22"/>
      <c r="K45" s="22"/>
      <c r="L45" s="22"/>
      <c r="M45" s="22"/>
      <c r="N45" s="22"/>
      <c r="O45" s="22"/>
      <c r="P45" s="22"/>
      <c r="Q45" s="21">
        <f t="shared" si="2"/>
        <v>1.71</v>
      </c>
    </row>
    <row r="46" s="3" customFormat="1" spans="1:17">
      <c r="A46" s="22">
        <v>102013</v>
      </c>
      <c r="B46" s="22">
        <v>102</v>
      </c>
      <c r="C46" s="22"/>
      <c r="D46" s="22"/>
      <c r="E46" s="22"/>
      <c r="F46" s="22">
        <v>13</v>
      </c>
      <c r="G46" s="21"/>
      <c r="H46" s="22"/>
      <c r="I46" s="22"/>
      <c r="J46" s="22"/>
      <c r="K46" s="22"/>
      <c r="L46" s="22"/>
      <c r="M46" s="22"/>
      <c r="N46" s="22"/>
      <c r="O46" s="22"/>
      <c r="P46" s="22"/>
      <c r="Q46" s="21">
        <f t="shared" si="2"/>
        <v>1.85</v>
      </c>
    </row>
    <row r="47" s="3" customFormat="1" spans="1:17">
      <c r="A47" s="22">
        <v>102014</v>
      </c>
      <c r="B47" s="22">
        <v>102</v>
      </c>
      <c r="C47" s="22"/>
      <c r="D47" s="22"/>
      <c r="E47" s="22"/>
      <c r="F47" s="22">
        <v>14</v>
      </c>
      <c r="G47" s="21"/>
      <c r="H47" s="22"/>
      <c r="I47" s="22"/>
      <c r="J47" s="22"/>
      <c r="K47" s="22"/>
      <c r="L47" s="22"/>
      <c r="M47" s="22"/>
      <c r="N47" s="22"/>
      <c r="O47" s="22"/>
      <c r="P47" s="22"/>
      <c r="Q47" s="21">
        <f t="shared" si="2"/>
        <v>2</v>
      </c>
    </row>
    <row r="48" s="3" customFormat="1" spans="1:17">
      <c r="A48" s="22">
        <v>102015</v>
      </c>
      <c r="B48" s="22">
        <v>102</v>
      </c>
      <c r="C48" s="22"/>
      <c r="D48" s="22"/>
      <c r="E48" s="22"/>
      <c r="F48" s="22">
        <v>15</v>
      </c>
      <c r="G48" s="21"/>
      <c r="H48" s="22"/>
      <c r="I48" s="22"/>
      <c r="J48" s="22"/>
      <c r="K48" s="22"/>
      <c r="L48" s="22"/>
      <c r="M48" s="22"/>
      <c r="N48" s="22"/>
      <c r="O48" s="22"/>
      <c r="P48" s="22"/>
      <c r="Q48" s="21">
        <f t="shared" si="2"/>
        <v>2.16</v>
      </c>
    </row>
    <row r="49" s="3" customFormat="1" spans="1:18">
      <c r="A49" s="22">
        <v>102016</v>
      </c>
      <c r="B49" s="22">
        <v>102</v>
      </c>
      <c r="C49" s="22"/>
      <c r="D49" s="22"/>
      <c r="E49" s="22"/>
      <c r="F49" s="22">
        <v>16</v>
      </c>
      <c r="G49" s="21"/>
      <c r="H49" s="22"/>
      <c r="I49" s="22"/>
      <c r="J49" s="22"/>
      <c r="K49" s="22"/>
      <c r="L49" s="22"/>
      <c r="M49" s="22"/>
      <c r="N49" s="22"/>
      <c r="O49" s="22"/>
      <c r="P49" s="22"/>
      <c r="Q49" s="21">
        <f t="shared" si="2"/>
        <v>2.34</v>
      </c>
    </row>
    <row r="50" s="3" customFormat="1" spans="1:18">
      <c r="A50" s="22">
        <v>102017</v>
      </c>
      <c r="B50" s="22">
        <v>102</v>
      </c>
      <c r="C50" s="22"/>
      <c r="D50" s="22"/>
      <c r="E50" s="22"/>
      <c r="F50" s="22">
        <v>17</v>
      </c>
      <c r="G50" s="21"/>
      <c r="H50" s="22"/>
      <c r="I50" s="22"/>
      <c r="J50" s="22"/>
      <c r="K50" s="22"/>
      <c r="L50" s="22"/>
      <c r="M50" s="22"/>
      <c r="N50" s="22"/>
      <c r="O50" s="22"/>
      <c r="P50" s="22"/>
      <c r="Q50" s="21">
        <f t="shared" si="2"/>
        <v>2.53</v>
      </c>
    </row>
    <row r="51" s="3" customFormat="1" spans="1:18">
      <c r="A51" s="22">
        <v>102018</v>
      </c>
      <c r="B51" s="22">
        <v>102</v>
      </c>
      <c r="C51" s="22"/>
      <c r="D51" s="22"/>
      <c r="E51" s="22"/>
      <c r="F51" s="22">
        <v>18</v>
      </c>
      <c r="G51" s="21"/>
      <c r="H51" s="22"/>
      <c r="I51" s="22"/>
      <c r="J51" s="22"/>
      <c r="K51" s="22"/>
      <c r="L51" s="22"/>
      <c r="M51" s="22"/>
      <c r="N51" s="22"/>
      <c r="O51" s="22"/>
      <c r="P51" s="22"/>
      <c r="Q51" s="21">
        <f t="shared" si="2"/>
        <v>2.74</v>
      </c>
    </row>
    <row r="52" s="3" customFormat="1" spans="1:18">
      <c r="A52" s="22">
        <v>102019</v>
      </c>
      <c r="B52" s="22">
        <v>102</v>
      </c>
      <c r="C52" s="22"/>
      <c r="D52" s="22"/>
      <c r="E52" s="22"/>
      <c r="F52" s="22">
        <v>19</v>
      </c>
      <c r="G52" s="21"/>
      <c r="H52" s="22"/>
      <c r="I52" s="22"/>
      <c r="J52" s="22"/>
      <c r="K52" s="22"/>
      <c r="L52" s="22"/>
      <c r="M52" s="22"/>
      <c r="N52" s="22"/>
      <c r="O52" s="22"/>
      <c r="P52" s="22"/>
      <c r="Q52" s="21">
        <f t="shared" si="2"/>
        <v>2.96</v>
      </c>
    </row>
    <row r="53" s="3" customFormat="1" spans="1:18">
      <c r="A53" s="22">
        <v>102020</v>
      </c>
      <c r="B53" s="22">
        <v>102</v>
      </c>
      <c r="C53" s="22"/>
      <c r="D53" s="22"/>
      <c r="E53" s="22"/>
      <c r="F53" s="22">
        <v>20</v>
      </c>
      <c r="G53" s="21"/>
      <c r="H53" s="22"/>
      <c r="I53" s="22"/>
      <c r="J53" s="22"/>
      <c r="K53" s="22"/>
      <c r="L53" s="22"/>
      <c r="M53" s="22"/>
      <c r="N53" s="22"/>
      <c r="O53" s="22"/>
      <c r="P53" s="22"/>
      <c r="Q53" s="21">
        <f t="shared" si="2"/>
        <v>3.2</v>
      </c>
    </row>
    <row r="54" s="4" customFormat="1" spans="1:18">
      <c r="A54" s="22">
        <v>102021</v>
      </c>
      <c r="B54" s="22">
        <v>102</v>
      </c>
      <c r="C54" s="23"/>
      <c r="D54" s="23"/>
      <c r="E54" s="23"/>
      <c r="F54" s="22">
        <v>21</v>
      </c>
      <c r="G54" s="21"/>
      <c r="H54" s="23"/>
      <c r="I54" s="23"/>
      <c r="J54" s="23"/>
      <c r="K54" s="23"/>
      <c r="L54" s="23"/>
      <c r="M54" s="23"/>
      <c r="N54" s="23"/>
      <c r="O54" s="23"/>
      <c r="P54" s="23"/>
      <c r="Q54" s="21">
        <f t="shared" ref="Q54:Q63" si="3">ROUNDUP(Q53*1.08,2)</f>
        <v>3.46</v>
      </c>
      <c r="R54" s="3"/>
    </row>
    <row r="55" s="4" customFormat="1" spans="1:18">
      <c r="A55" s="22">
        <v>102022</v>
      </c>
      <c r="B55" s="22">
        <v>102</v>
      </c>
      <c r="C55" s="23"/>
      <c r="D55" s="23"/>
      <c r="E55" s="23"/>
      <c r="F55" s="22">
        <v>22</v>
      </c>
      <c r="G55" s="21"/>
      <c r="H55" s="23"/>
      <c r="I55" s="23"/>
      <c r="J55" s="23"/>
      <c r="K55" s="23"/>
      <c r="L55" s="23"/>
      <c r="M55" s="23"/>
      <c r="N55" s="23"/>
      <c r="O55" s="23"/>
      <c r="P55" s="23"/>
      <c r="Q55" s="21">
        <f t="shared" si="3"/>
        <v>3.74</v>
      </c>
      <c r="R55" s="3"/>
    </row>
    <row r="56" s="4" customFormat="1" spans="1:18">
      <c r="A56" s="22">
        <v>102023</v>
      </c>
      <c r="B56" s="22">
        <v>102</v>
      </c>
      <c r="C56" s="23"/>
      <c r="D56" s="23"/>
      <c r="E56" s="23"/>
      <c r="F56" s="22">
        <v>23</v>
      </c>
      <c r="G56" s="21"/>
      <c r="H56" s="23"/>
      <c r="I56" s="23"/>
      <c r="J56" s="23"/>
      <c r="K56" s="23"/>
      <c r="L56" s="23"/>
      <c r="M56" s="23"/>
      <c r="N56" s="23"/>
      <c r="O56" s="23"/>
      <c r="P56" s="23"/>
      <c r="Q56" s="21">
        <f t="shared" si="3"/>
        <v>4.04</v>
      </c>
      <c r="R56" s="3"/>
    </row>
    <row r="57" s="4" customFormat="1" spans="1:18">
      <c r="A57" s="22">
        <v>102024</v>
      </c>
      <c r="B57" s="22">
        <v>102</v>
      </c>
      <c r="C57" s="23"/>
      <c r="D57" s="23"/>
      <c r="E57" s="23"/>
      <c r="F57" s="22">
        <v>24</v>
      </c>
      <c r="G57" s="21"/>
      <c r="H57" s="23"/>
      <c r="I57" s="23"/>
      <c r="J57" s="23"/>
      <c r="K57" s="23"/>
      <c r="L57" s="23"/>
      <c r="M57" s="23"/>
      <c r="N57" s="23"/>
      <c r="O57" s="23"/>
      <c r="P57" s="23"/>
      <c r="Q57" s="21">
        <f t="shared" si="3"/>
        <v>4.37</v>
      </c>
      <c r="R57" s="3"/>
    </row>
    <row r="58" s="4" customFormat="1" spans="1:18">
      <c r="A58" s="22">
        <v>102025</v>
      </c>
      <c r="B58" s="22">
        <v>102</v>
      </c>
      <c r="C58" s="23"/>
      <c r="D58" s="23"/>
      <c r="E58" s="23"/>
      <c r="F58" s="22">
        <v>25</v>
      </c>
      <c r="G58" s="21"/>
      <c r="H58" s="23"/>
      <c r="I58" s="23"/>
      <c r="J58" s="23"/>
      <c r="K58" s="23"/>
      <c r="L58" s="23"/>
      <c r="M58" s="23"/>
      <c r="N58" s="23"/>
      <c r="O58" s="23"/>
      <c r="P58" s="23"/>
      <c r="Q58" s="21">
        <f t="shared" si="3"/>
        <v>4.72</v>
      </c>
      <c r="R58" s="3"/>
    </row>
    <row r="59" s="4" customFormat="1" spans="1:18">
      <c r="A59" s="22">
        <v>102026</v>
      </c>
      <c r="B59" s="22">
        <v>102</v>
      </c>
      <c r="C59" s="23"/>
      <c r="D59" s="23"/>
      <c r="E59" s="23"/>
      <c r="F59" s="22">
        <v>26</v>
      </c>
      <c r="G59" s="21"/>
      <c r="H59" s="23"/>
      <c r="I59" s="23"/>
      <c r="J59" s="23"/>
      <c r="K59" s="23"/>
      <c r="L59" s="23"/>
      <c r="M59" s="23"/>
      <c r="N59" s="23"/>
      <c r="O59" s="23"/>
      <c r="P59" s="23"/>
      <c r="Q59" s="21">
        <f t="shared" si="3"/>
        <v>5.1</v>
      </c>
      <c r="R59" s="3"/>
    </row>
    <row r="60" s="4" customFormat="1" spans="1:18">
      <c r="A60" s="22">
        <v>102027</v>
      </c>
      <c r="B60" s="22">
        <v>102</v>
      </c>
      <c r="C60" s="23"/>
      <c r="D60" s="23"/>
      <c r="E60" s="23"/>
      <c r="F60" s="22">
        <v>27</v>
      </c>
      <c r="G60" s="21"/>
      <c r="H60" s="23"/>
      <c r="I60" s="23"/>
      <c r="J60" s="23"/>
      <c r="K60" s="23"/>
      <c r="L60" s="23"/>
      <c r="M60" s="23"/>
      <c r="N60" s="23"/>
      <c r="O60" s="23"/>
      <c r="P60" s="23"/>
      <c r="Q60" s="21">
        <f t="shared" si="3"/>
        <v>5.51</v>
      </c>
      <c r="R60" s="3"/>
    </row>
    <row r="61" s="4" customFormat="1" spans="1:18">
      <c r="A61" s="22">
        <v>102028</v>
      </c>
      <c r="B61" s="22">
        <v>102</v>
      </c>
      <c r="C61" s="23"/>
      <c r="D61" s="23"/>
      <c r="E61" s="23"/>
      <c r="F61" s="22">
        <v>28</v>
      </c>
      <c r="G61" s="21"/>
      <c r="H61" s="23"/>
      <c r="I61" s="23"/>
      <c r="J61" s="23"/>
      <c r="K61" s="23"/>
      <c r="L61" s="23"/>
      <c r="M61" s="23"/>
      <c r="N61" s="23"/>
      <c r="O61" s="23"/>
      <c r="P61" s="23"/>
      <c r="Q61" s="21">
        <f t="shared" si="3"/>
        <v>5.96</v>
      </c>
      <c r="R61" s="3"/>
    </row>
    <row r="62" s="4" customFormat="1" spans="1:18">
      <c r="A62" s="22">
        <v>102029</v>
      </c>
      <c r="B62" s="22">
        <v>102</v>
      </c>
      <c r="C62" s="23"/>
      <c r="D62" s="23"/>
      <c r="E62" s="23"/>
      <c r="F62" s="22">
        <v>29</v>
      </c>
      <c r="G62" s="21"/>
      <c r="H62" s="23"/>
      <c r="I62" s="23"/>
      <c r="J62" s="23"/>
      <c r="K62" s="23"/>
      <c r="L62" s="23"/>
      <c r="M62" s="23"/>
      <c r="N62" s="23"/>
      <c r="O62" s="23"/>
      <c r="P62" s="23"/>
      <c r="Q62" s="21">
        <f t="shared" si="3"/>
        <v>6.44</v>
      </c>
      <c r="R62" s="3"/>
    </row>
    <row r="63" s="4" customFormat="1" spans="1:18">
      <c r="A63" s="22">
        <v>102030</v>
      </c>
      <c r="B63" s="22">
        <v>102</v>
      </c>
      <c r="C63" s="23"/>
      <c r="D63" s="23"/>
      <c r="E63" s="23"/>
      <c r="F63" s="22">
        <v>30</v>
      </c>
      <c r="G63" s="21"/>
      <c r="H63" s="23"/>
      <c r="I63" s="23"/>
      <c r="J63" s="23"/>
      <c r="K63" s="23"/>
      <c r="L63" s="23"/>
      <c r="M63" s="23"/>
      <c r="N63" s="23"/>
      <c r="O63" s="23"/>
      <c r="P63" s="23"/>
      <c r="Q63" s="21">
        <f t="shared" si="3"/>
        <v>6.96</v>
      </c>
      <c r="R63" s="3"/>
    </row>
    <row r="64" s="4" customFormat="1" spans="1:18">
      <c r="A64" s="23">
        <v>103001</v>
      </c>
      <c r="B64" s="23">
        <v>103</v>
      </c>
      <c r="C64" s="23" t="s">
        <v>42</v>
      </c>
      <c r="D64" s="23" t="s">
        <v>43</v>
      </c>
      <c r="E64" s="23" t="s">
        <v>44</v>
      </c>
      <c r="F64" s="23">
        <v>1</v>
      </c>
      <c r="G64" s="21">
        <v>0.15</v>
      </c>
      <c r="H64" s="23">
        <v>2</v>
      </c>
      <c r="I64" s="23">
        <v>7</v>
      </c>
      <c r="J64" s="23">
        <v>1000</v>
      </c>
      <c r="K64" s="23">
        <v>-1</v>
      </c>
      <c r="L64" s="23"/>
      <c r="M64" s="23"/>
      <c r="N64" s="23"/>
      <c r="O64" s="23">
        <v>150</v>
      </c>
      <c r="P64" s="23">
        <v>100</v>
      </c>
      <c r="Q64" s="23"/>
      <c r="R64" s="3"/>
    </row>
    <row r="65" s="4" customFormat="1" spans="1:18">
      <c r="A65" s="23">
        <v>103002</v>
      </c>
      <c r="B65" s="23">
        <v>103</v>
      </c>
      <c r="C65" s="23"/>
      <c r="D65" s="23"/>
      <c r="E65" s="23"/>
      <c r="F65" s="23">
        <v>2</v>
      </c>
      <c r="G65" s="21">
        <f>ROUNDUP(G64*1.08,2)</f>
        <v>0.17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3"/>
    </row>
    <row r="66" s="4" customFormat="1" spans="1:18">
      <c r="A66" s="23">
        <v>103003</v>
      </c>
      <c r="B66" s="23">
        <v>103</v>
      </c>
      <c r="C66" s="23"/>
      <c r="D66" s="23"/>
      <c r="E66" s="23"/>
      <c r="F66" s="23">
        <v>3</v>
      </c>
      <c r="G66" s="21">
        <f t="shared" ref="G66:G83" si="4">ROUNDUP(G65*1.08,2)</f>
        <v>0.19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3"/>
    </row>
    <row r="67" s="4" customFormat="1" spans="1:18">
      <c r="A67" s="23">
        <v>103004</v>
      </c>
      <c r="B67" s="23">
        <v>103</v>
      </c>
      <c r="C67" s="23"/>
      <c r="D67" s="23"/>
      <c r="E67" s="23"/>
      <c r="F67" s="23">
        <v>4</v>
      </c>
      <c r="G67" s="21">
        <f t="shared" si="4"/>
        <v>0.21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3"/>
    </row>
    <row r="68" s="4" customFormat="1" spans="1:18">
      <c r="A68" s="23">
        <v>103005</v>
      </c>
      <c r="B68" s="23">
        <v>103</v>
      </c>
      <c r="C68" s="23"/>
      <c r="D68" s="23"/>
      <c r="E68" s="23"/>
      <c r="F68" s="23">
        <v>5</v>
      </c>
      <c r="G68" s="21">
        <f t="shared" si="4"/>
        <v>0.23</v>
      </c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3"/>
    </row>
    <row r="69" s="4" customFormat="1" spans="1:18">
      <c r="A69" s="23">
        <v>103006</v>
      </c>
      <c r="B69" s="23">
        <v>103</v>
      </c>
      <c r="C69" s="23"/>
      <c r="D69" s="23"/>
      <c r="E69" s="23"/>
      <c r="F69" s="23">
        <v>6</v>
      </c>
      <c r="G69" s="21">
        <f t="shared" si="4"/>
        <v>0.25</v>
      </c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3"/>
    </row>
    <row r="70" s="4" customFormat="1" spans="1:18">
      <c r="A70" s="23">
        <v>103007</v>
      </c>
      <c r="B70" s="23">
        <v>103</v>
      </c>
      <c r="C70" s="23"/>
      <c r="D70" s="23"/>
      <c r="E70" s="23"/>
      <c r="F70" s="23">
        <v>7</v>
      </c>
      <c r="G70" s="21">
        <f t="shared" si="4"/>
        <v>0.27</v>
      </c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3"/>
    </row>
    <row r="71" s="4" customFormat="1" spans="1:18">
      <c r="A71" s="23">
        <v>103008</v>
      </c>
      <c r="B71" s="23">
        <v>103</v>
      </c>
      <c r="C71" s="23"/>
      <c r="D71" s="23"/>
      <c r="E71" s="23"/>
      <c r="F71" s="23">
        <v>8</v>
      </c>
      <c r="G71" s="21">
        <f t="shared" si="4"/>
        <v>0.3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3"/>
    </row>
    <row r="72" s="4" customFormat="1" spans="1:18">
      <c r="A72" s="23">
        <v>103009</v>
      </c>
      <c r="B72" s="23">
        <v>103</v>
      </c>
      <c r="C72" s="23"/>
      <c r="D72" s="23"/>
      <c r="E72" s="23"/>
      <c r="F72" s="23">
        <v>9</v>
      </c>
      <c r="G72" s="21">
        <f t="shared" si="4"/>
        <v>0.33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3"/>
    </row>
    <row r="73" s="4" customFormat="1" spans="1:18">
      <c r="A73" s="23">
        <v>103010</v>
      </c>
      <c r="B73" s="23">
        <v>103</v>
      </c>
      <c r="C73" s="23"/>
      <c r="D73" s="23"/>
      <c r="E73" s="23"/>
      <c r="F73" s="23">
        <v>10</v>
      </c>
      <c r="G73" s="21">
        <f t="shared" si="4"/>
        <v>0.36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3"/>
    </row>
    <row r="74" s="4" customFormat="1" spans="1:18">
      <c r="A74" s="23">
        <v>103011</v>
      </c>
      <c r="B74" s="23">
        <v>103</v>
      </c>
      <c r="C74" s="23"/>
      <c r="D74" s="23"/>
      <c r="E74" s="23"/>
      <c r="F74" s="23">
        <v>11</v>
      </c>
      <c r="G74" s="21">
        <f t="shared" si="4"/>
        <v>0.39</v>
      </c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3"/>
    </row>
    <row r="75" s="4" customFormat="1" spans="1:18">
      <c r="A75" s="23">
        <v>103012</v>
      </c>
      <c r="B75" s="23">
        <v>103</v>
      </c>
      <c r="C75" s="23"/>
      <c r="D75" s="23"/>
      <c r="E75" s="23"/>
      <c r="F75" s="23">
        <v>12</v>
      </c>
      <c r="G75" s="21">
        <f t="shared" si="4"/>
        <v>0.43</v>
      </c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3"/>
    </row>
    <row r="76" s="4" customFormat="1" spans="1:18">
      <c r="A76" s="23">
        <v>103013</v>
      </c>
      <c r="B76" s="23">
        <v>103</v>
      </c>
      <c r="C76" s="23"/>
      <c r="D76" s="23"/>
      <c r="E76" s="23"/>
      <c r="F76" s="23">
        <v>13</v>
      </c>
      <c r="G76" s="21">
        <f t="shared" si="4"/>
        <v>0.47</v>
      </c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3"/>
    </row>
    <row r="77" s="4" customFormat="1" spans="1:18">
      <c r="A77" s="23">
        <v>103014</v>
      </c>
      <c r="B77" s="23">
        <v>103</v>
      </c>
      <c r="C77" s="23"/>
      <c r="D77" s="23"/>
      <c r="E77" s="23"/>
      <c r="F77" s="23">
        <v>14</v>
      </c>
      <c r="G77" s="21">
        <f t="shared" si="4"/>
        <v>0.51</v>
      </c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3"/>
    </row>
    <row r="78" s="4" customFormat="1" spans="1:18">
      <c r="A78" s="23">
        <v>103015</v>
      </c>
      <c r="B78" s="23">
        <v>103</v>
      </c>
      <c r="C78" s="23"/>
      <c r="D78" s="23"/>
      <c r="E78" s="23"/>
      <c r="F78" s="23">
        <v>15</v>
      </c>
      <c r="G78" s="21">
        <f t="shared" si="4"/>
        <v>0.56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3"/>
    </row>
    <row r="79" s="4" customFormat="1" spans="1:18">
      <c r="A79" s="23">
        <v>103016</v>
      </c>
      <c r="B79" s="23">
        <v>103</v>
      </c>
      <c r="C79" s="23"/>
      <c r="D79" s="23"/>
      <c r="E79" s="23"/>
      <c r="F79" s="23">
        <v>16</v>
      </c>
      <c r="G79" s="21">
        <f t="shared" si="4"/>
        <v>0.61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3"/>
    </row>
    <row r="80" s="4" customFormat="1" spans="1:18">
      <c r="A80" s="23">
        <v>103017</v>
      </c>
      <c r="B80" s="23">
        <v>103</v>
      </c>
      <c r="C80" s="23"/>
      <c r="D80" s="23"/>
      <c r="E80" s="23"/>
      <c r="F80" s="23">
        <v>17</v>
      </c>
      <c r="G80" s="21">
        <f t="shared" si="4"/>
        <v>0.66</v>
      </c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3"/>
    </row>
    <row r="81" s="4" customFormat="1" spans="1:18">
      <c r="A81" s="23">
        <v>103018</v>
      </c>
      <c r="B81" s="23">
        <v>103</v>
      </c>
      <c r="C81" s="23"/>
      <c r="D81" s="23"/>
      <c r="E81" s="23"/>
      <c r="F81" s="23">
        <v>18</v>
      </c>
      <c r="G81" s="21">
        <f t="shared" si="4"/>
        <v>0.72</v>
      </c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3"/>
    </row>
    <row r="82" s="4" customFormat="1" spans="1:18">
      <c r="A82" s="23">
        <v>103019</v>
      </c>
      <c r="B82" s="23">
        <v>103</v>
      </c>
      <c r="C82" s="23"/>
      <c r="D82" s="23"/>
      <c r="E82" s="23"/>
      <c r="F82" s="23">
        <v>19</v>
      </c>
      <c r="G82" s="21">
        <f t="shared" si="4"/>
        <v>0.78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3"/>
    </row>
    <row r="83" s="4" customFormat="1" spans="1:18">
      <c r="A83" s="23">
        <v>103020</v>
      </c>
      <c r="B83" s="23">
        <v>103</v>
      </c>
      <c r="C83" s="23"/>
      <c r="D83" s="23"/>
      <c r="E83" s="23"/>
      <c r="F83" s="23">
        <v>20</v>
      </c>
      <c r="G83" s="21">
        <f t="shared" si="4"/>
        <v>0.85</v>
      </c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3"/>
    </row>
    <row r="84" s="5" customFormat="1" spans="1:18">
      <c r="A84" s="23">
        <v>103021</v>
      </c>
      <c r="B84" s="23">
        <v>103</v>
      </c>
      <c r="C84" s="24"/>
      <c r="D84" s="24"/>
      <c r="E84" s="25"/>
      <c r="F84" s="23">
        <v>21</v>
      </c>
      <c r="G84" s="21">
        <f t="shared" ref="G84:G93" si="5">ROUNDUP(G83*1.08,2)</f>
        <v>0.92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3"/>
    </row>
    <row r="85" s="5" customFormat="1" spans="1:18">
      <c r="A85" s="23">
        <v>103022</v>
      </c>
      <c r="B85" s="23">
        <v>103</v>
      </c>
      <c r="C85" s="24"/>
      <c r="D85" s="24"/>
      <c r="E85" s="25"/>
      <c r="F85" s="23">
        <v>22</v>
      </c>
      <c r="G85" s="21">
        <f t="shared" si="5"/>
        <v>1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3"/>
    </row>
    <row r="86" s="5" customFormat="1" spans="1:18">
      <c r="A86" s="23">
        <v>103023</v>
      </c>
      <c r="B86" s="23">
        <v>103</v>
      </c>
      <c r="C86" s="24"/>
      <c r="D86" s="24"/>
      <c r="E86" s="25"/>
      <c r="F86" s="23">
        <v>23</v>
      </c>
      <c r="G86" s="21">
        <f t="shared" si="5"/>
        <v>1.08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3"/>
    </row>
    <row r="87" s="5" customFormat="1" spans="1:18">
      <c r="A87" s="23">
        <v>103024</v>
      </c>
      <c r="B87" s="23">
        <v>103</v>
      </c>
      <c r="C87" s="24"/>
      <c r="D87" s="24"/>
      <c r="E87" s="25"/>
      <c r="F87" s="23">
        <v>24</v>
      </c>
      <c r="G87" s="21">
        <f t="shared" si="5"/>
        <v>1.17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3"/>
    </row>
    <row r="88" s="5" customFormat="1" spans="1:18">
      <c r="A88" s="23">
        <v>103025</v>
      </c>
      <c r="B88" s="23">
        <v>103</v>
      </c>
      <c r="C88" s="24"/>
      <c r="D88" s="24"/>
      <c r="E88" s="25"/>
      <c r="F88" s="23">
        <v>25</v>
      </c>
      <c r="G88" s="21">
        <f t="shared" si="5"/>
        <v>1.27</v>
      </c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3"/>
    </row>
    <row r="89" s="5" customFormat="1" spans="1:18">
      <c r="A89" s="23">
        <v>103026</v>
      </c>
      <c r="B89" s="23">
        <v>103</v>
      </c>
      <c r="C89" s="24"/>
      <c r="D89" s="24"/>
      <c r="E89" s="25"/>
      <c r="F89" s="23">
        <v>26</v>
      </c>
      <c r="G89" s="21">
        <f t="shared" si="5"/>
        <v>1.38</v>
      </c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3"/>
    </row>
    <row r="90" s="5" customFormat="1" spans="1:18">
      <c r="A90" s="23">
        <v>103027</v>
      </c>
      <c r="B90" s="23">
        <v>103</v>
      </c>
      <c r="C90" s="24"/>
      <c r="D90" s="24"/>
      <c r="E90" s="25"/>
      <c r="F90" s="23">
        <v>27</v>
      </c>
      <c r="G90" s="21">
        <f t="shared" si="5"/>
        <v>1.5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3"/>
    </row>
    <row r="91" s="5" customFormat="1" spans="1:18">
      <c r="A91" s="23">
        <v>103028</v>
      </c>
      <c r="B91" s="23">
        <v>103</v>
      </c>
      <c r="C91" s="24"/>
      <c r="D91" s="24"/>
      <c r="E91" s="25"/>
      <c r="F91" s="23">
        <v>28</v>
      </c>
      <c r="G91" s="21">
        <f t="shared" si="5"/>
        <v>1.62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3"/>
    </row>
    <row r="92" s="5" customFormat="1" spans="1:18">
      <c r="A92" s="23">
        <v>103029</v>
      </c>
      <c r="B92" s="23">
        <v>103</v>
      </c>
      <c r="C92" s="24"/>
      <c r="D92" s="24"/>
      <c r="E92" s="25"/>
      <c r="F92" s="23">
        <v>29</v>
      </c>
      <c r="G92" s="21">
        <f t="shared" si="5"/>
        <v>1.75</v>
      </c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3"/>
    </row>
    <row r="93" s="5" customFormat="1" spans="1:18">
      <c r="A93" s="23">
        <v>103030</v>
      </c>
      <c r="B93" s="23">
        <v>103</v>
      </c>
      <c r="C93" s="24"/>
      <c r="D93" s="24"/>
      <c r="E93" s="25"/>
      <c r="F93" s="23">
        <v>30</v>
      </c>
      <c r="G93" s="21">
        <f t="shared" si="5"/>
        <v>1.89</v>
      </c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3"/>
    </row>
    <row r="94" s="5" customFormat="1" spans="1:18">
      <c r="A94" s="25">
        <v>104001</v>
      </c>
      <c r="B94" s="25">
        <v>104</v>
      </c>
      <c r="C94" s="26" t="s">
        <v>45</v>
      </c>
      <c r="D94" s="24" t="s">
        <v>46</v>
      </c>
      <c r="E94" s="25" t="s">
        <v>47</v>
      </c>
      <c r="F94" s="25">
        <v>1</v>
      </c>
      <c r="G94" s="21"/>
      <c r="H94" s="25">
        <v>2</v>
      </c>
      <c r="I94" s="25">
        <v>5</v>
      </c>
      <c r="J94" s="25">
        <v>800</v>
      </c>
      <c r="K94" s="25"/>
      <c r="L94" s="25"/>
      <c r="M94" s="25"/>
      <c r="N94" s="25"/>
      <c r="O94" s="25"/>
      <c r="P94" s="25">
        <v>140</v>
      </c>
      <c r="Q94" s="25">
        <v>0.7</v>
      </c>
      <c r="R94" s="3"/>
    </row>
    <row r="95" s="5" customFormat="1" spans="1:18">
      <c r="A95" s="25">
        <v>104002</v>
      </c>
      <c r="B95" s="25">
        <v>104</v>
      </c>
      <c r="C95" s="26"/>
      <c r="D95" s="24"/>
      <c r="E95" s="25"/>
      <c r="F95" s="25">
        <v>2</v>
      </c>
      <c r="G95" s="21"/>
      <c r="H95" s="25"/>
      <c r="I95" s="25"/>
      <c r="J95" s="25"/>
      <c r="K95" s="25"/>
      <c r="L95" s="25"/>
      <c r="M95" s="25"/>
      <c r="N95" s="25"/>
      <c r="O95" s="25"/>
      <c r="P95" s="25"/>
      <c r="Q95" s="21">
        <f>ROUNDUP(Q94*1.08,2)</f>
        <v>0.76</v>
      </c>
      <c r="R95" s="3"/>
    </row>
    <row r="96" s="5" customFormat="1" spans="1:18">
      <c r="A96" s="25">
        <v>104003</v>
      </c>
      <c r="B96" s="25">
        <v>104</v>
      </c>
      <c r="C96" s="26"/>
      <c r="D96" s="24"/>
      <c r="E96" s="25"/>
      <c r="F96" s="25">
        <v>3</v>
      </c>
      <c r="G96" s="21"/>
      <c r="H96" s="25"/>
      <c r="I96" s="25"/>
      <c r="J96" s="25"/>
      <c r="K96" s="25"/>
      <c r="L96" s="25"/>
      <c r="M96" s="25"/>
      <c r="N96" s="25"/>
      <c r="O96" s="25"/>
      <c r="P96" s="25"/>
      <c r="Q96" s="21">
        <f t="shared" ref="Q96:Q113" si="6">ROUNDUP(Q95*1.08,2)</f>
        <v>0.83</v>
      </c>
      <c r="R96" s="3"/>
    </row>
    <row r="97" s="5" customFormat="1" spans="1:18">
      <c r="A97" s="25">
        <v>104004</v>
      </c>
      <c r="B97" s="25">
        <v>104</v>
      </c>
      <c r="C97" s="26"/>
      <c r="D97" s="24"/>
      <c r="E97" s="25"/>
      <c r="F97" s="25">
        <v>4</v>
      </c>
      <c r="G97" s="21"/>
      <c r="H97" s="25"/>
      <c r="I97" s="25"/>
      <c r="J97" s="25"/>
      <c r="K97" s="25"/>
      <c r="L97" s="25"/>
      <c r="M97" s="25"/>
      <c r="N97" s="25"/>
      <c r="O97" s="25"/>
      <c r="P97" s="25"/>
      <c r="Q97" s="21">
        <f t="shared" si="6"/>
        <v>0.9</v>
      </c>
      <c r="R97" s="3"/>
    </row>
    <row r="98" s="5" customFormat="1" spans="1:18">
      <c r="A98" s="25">
        <v>104005</v>
      </c>
      <c r="B98" s="25">
        <v>104</v>
      </c>
      <c r="C98" s="26"/>
      <c r="D98" s="24"/>
      <c r="E98" s="25"/>
      <c r="F98" s="25">
        <v>5</v>
      </c>
      <c r="G98" s="21"/>
      <c r="H98" s="25"/>
      <c r="I98" s="25"/>
      <c r="J98" s="25"/>
      <c r="K98" s="25"/>
      <c r="L98" s="25"/>
      <c r="M98" s="25"/>
      <c r="N98" s="25"/>
      <c r="O98" s="25"/>
      <c r="P98" s="25"/>
      <c r="Q98" s="21">
        <f t="shared" si="6"/>
        <v>0.98</v>
      </c>
      <c r="R98" s="3"/>
    </row>
    <row r="99" s="5" customFormat="1" spans="1:18">
      <c r="A99" s="25">
        <v>104006</v>
      </c>
      <c r="B99" s="25">
        <v>104</v>
      </c>
      <c r="C99" s="26"/>
      <c r="D99" s="24"/>
      <c r="E99" s="25"/>
      <c r="F99" s="25">
        <v>6</v>
      </c>
      <c r="G99" s="21"/>
      <c r="H99" s="25"/>
      <c r="I99" s="25"/>
      <c r="J99" s="25"/>
      <c r="K99" s="25"/>
      <c r="L99" s="25"/>
      <c r="M99" s="25"/>
      <c r="N99" s="25"/>
      <c r="O99" s="25"/>
      <c r="P99" s="25"/>
      <c r="Q99" s="21">
        <f t="shared" si="6"/>
        <v>1.06</v>
      </c>
      <c r="R99" s="3"/>
    </row>
    <row r="100" s="5" customFormat="1" spans="1:18">
      <c r="A100" s="25">
        <v>104007</v>
      </c>
      <c r="B100" s="25">
        <v>104</v>
      </c>
      <c r="C100" s="26"/>
      <c r="D100" s="24"/>
      <c r="E100" s="25"/>
      <c r="F100" s="25">
        <v>7</v>
      </c>
      <c r="G100" s="21"/>
      <c r="H100" s="25"/>
      <c r="I100" s="25"/>
      <c r="J100" s="25"/>
      <c r="K100" s="25"/>
      <c r="L100" s="25"/>
      <c r="M100" s="25"/>
      <c r="N100" s="25"/>
      <c r="O100" s="25"/>
      <c r="P100" s="25"/>
      <c r="Q100" s="21">
        <f t="shared" si="6"/>
        <v>1.15</v>
      </c>
      <c r="R100" s="3"/>
    </row>
    <row r="101" s="5" customFormat="1" spans="1:18">
      <c r="A101" s="25">
        <v>104008</v>
      </c>
      <c r="B101" s="25">
        <v>104</v>
      </c>
      <c r="C101" s="26"/>
      <c r="D101" s="24"/>
      <c r="E101" s="25"/>
      <c r="F101" s="25">
        <v>8</v>
      </c>
      <c r="G101" s="21"/>
      <c r="H101" s="25"/>
      <c r="I101" s="25"/>
      <c r="J101" s="25"/>
      <c r="K101" s="25"/>
      <c r="L101" s="25"/>
      <c r="M101" s="25"/>
      <c r="N101" s="25"/>
      <c r="O101" s="25"/>
      <c r="P101" s="25"/>
      <c r="Q101" s="21">
        <f t="shared" si="6"/>
        <v>1.25</v>
      </c>
      <c r="R101" s="3"/>
    </row>
    <row r="102" s="5" customFormat="1" spans="1:18">
      <c r="A102" s="25">
        <v>104009</v>
      </c>
      <c r="B102" s="25">
        <v>104</v>
      </c>
      <c r="C102" s="26"/>
      <c r="D102" s="24"/>
      <c r="E102" s="25"/>
      <c r="F102" s="25">
        <v>9</v>
      </c>
      <c r="G102" s="21"/>
      <c r="H102" s="25"/>
      <c r="I102" s="25"/>
      <c r="J102" s="25"/>
      <c r="K102" s="25"/>
      <c r="L102" s="25"/>
      <c r="M102" s="25"/>
      <c r="N102" s="25"/>
      <c r="O102" s="25"/>
      <c r="P102" s="25"/>
      <c r="Q102" s="21">
        <f t="shared" si="6"/>
        <v>1.35</v>
      </c>
      <c r="R102" s="3"/>
    </row>
    <row r="103" s="5" customFormat="1" spans="1:18">
      <c r="A103" s="25">
        <v>104010</v>
      </c>
      <c r="B103" s="25">
        <v>104</v>
      </c>
      <c r="C103" s="26"/>
      <c r="D103" s="24"/>
      <c r="E103" s="25"/>
      <c r="F103" s="25">
        <v>10</v>
      </c>
      <c r="G103" s="21"/>
      <c r="H103" s="25"/>
      <c r="I103" s="25"/>
      <c r="J103" s="25"/>
      <c r="K103" s="25"/>
      <c r="L103" s="25"/>
      <c r="M103" s="25"/>
      <c r="N103" s="25"/>
      <c r="O103" s="25"/>
      <c r="P103" s="25"/>
      <c r="Q103" s="21">
        <f t="shared" si="6"/>
        <v>1.46</v>
      </c>
      <c r="R103" s="3"/>
    </row>
    <row r="104" s="5" customFormat="1" spans="1:18">
      <c r="A104" s="25">
        <v>104011</v>
      </c>
      <c r="B104" s="25">
        <v>104</v>
      </c>
      <c r="C104" s="26"/>
      <c r="D104" s="24"/>
      <c r="E104" s="25"/>
      <c r="F104" s="25">
        <v>11</v>
      </c>
      <c r="G104" s="21"/>
      <c r="H104" s="25"/>
      <c r="I104" s="25"/>
      <c r="J104" s="25"/>
      <c r="K104" s="25"/>
      <c r="L104" s="25"/>
      <c r="M104" s="25"/>
      <c r="N104" s="25"/>
      <c r="O104" s="25"/>
      <c r="P104" s="25"/>
      <c r="Q104" s="21">
        <f t="shared" si="6"/>
        <v>1.58</v>
      </c>
      <c r="R104" s="3"/>
    </row>
    <row r="105" s="5" customFormat="1" spans="1:18">
      <c r="A105" s="25">
        <v>104012</v>
      </c>
      <c r="B105" s="25">
        <v>104</v>
      </c>
      <c r="C105" s="26"/>
      <c r="D105" s="24"/>
      <c r="E105" s="25"/>
      <c r="F105" s="25">
        <v>12</v>
      </c>
      <c r="G105" s="21"/>
      <c r="H105" s="25"/>
      <c r="I105" s="25"/>
      <c r="J105" s="25"/>
      <c r="K105" s="25"/>
      <c r="L105" s="25"/>
      <c r="M105" s="25"/>
      <c r="N105" s="25"/>
      <c r="O105" s="25"/>
      <c r="P105" s="25"/>
      <c r="Q105" s="21">
        <f t="shared" si="6"/>
        <v>1.71</v>
      </c>
      <c r="R105" s="3"/>
    </row>
    <row r="106" s="5" customFormat="1" spans="1:18">
      <c r="A106" s="25">
        <v>104013</v>
      </c>
      <c r="B106" s="25">
        <v>104</v>
      </c>
      <c r="C106" s="26"/>
      <c r="D106" s="24"/>
      <c r="E106" s="25"/>
      <c r="F106" s="25">
        <v>13</v>
      </c>
      <c r="G106" s="21"/>
      <c r="H106" s="25"/>
      <c r="I106" s="25"/>
      <c r="J106" s="25"/>
      <c r="K106" s="25"/>
      <c r="L106" s="25"/>
      <c r="M106" s="25"/>
      <c r="N106" s="25"/>
      <c r="O106" s="25"/>
      <c r="P106" s="25"/>
      <c r="Q106" s="21">
        <f t="shared" si="6"/>
        <v>1.85</v>
      </c>
      <c r="R106" s="3"/>
    </row>
    <row r="107" s="5" customFormat="1" spans="1:18">
      <c r="A107" s="25">
        <v>104014</v>
      </c>
      <c r="B107" s="25">
        <v>104</v>
      </c>
      <c r="C107" s="26"/>
      <c r="D107" s="24"/>
      <c r="E107" s="25"/>
      <c r="F107" s="25">
        <v>14</v>
      </c>
      <c r="G107" s="21"/>
      <c r="H107" s="25"/>
      <c r="I107" s="25"/>
      <c r="J107" s="25"/>
      <c r="K107" s="25"/>
      <c r="L107" s="25"/>
      <c r="M107" s="25"/>
      <c r="N107" s="25"/>
      <c r="O107" s="25"/>
      <c r="P107" s="25"/>
      <c r="Q107" s="21">
        <f t="shared" si="6"/>
        <v>2</v>
      </c>
      <c r="R107" s="3"/>
    </row>
    <row r="108" s="5" customFormat="1" spans="1:18">
      <c r="A108" s="25">
        <v>104015</v>
      </c>
      <c r="B108" s="25">
        <v>104</v>
      </c>
      <c r="C108" s="26"/>
      <c r="D108" s="24"/>
      <c r="E108" s="25"/>
      <c r="F108" s="25">
        <v>15</v>
      </c>
      <c r="G108" s="21"/>
      <c r="H108" s="25"/>
      <c r="I108" s="25"/>
      <c r="J108" s="25"/>
      <c r="K108" s="25"/>
      <c r="L108" s="25"/>
      <c r="M108" s="25"/>
      <c r="N108" s="25"/>
      <c r="O108" s="25"/>
      <c r="P108" s="25"/>
      <c r="Q108" s="21">
        <f t="shared" si="6"/>
        <v>2.16</v>
      </c>
      <c r="R108" s="3"/>
    </row>
    <row r="109" s="5" customFormat="1" spans="1:18">
      <c r="A109" s="25">
        <v>104016</v>
      </c>
      <c r="B109" s="25">
        <v>104</v>
      </c>
      <c r="C109" s="26"/>
      <c r="D109" s="24"/>
      <c r="E109" s="25"/>
      <c r="F109" s="25">
        <v>16</v>
      </c>
      <c r="G109" s="21"/>
      <c r="H109" s="25"/>
      <c r="I109" s="25"/>
      <c r="J109" s="25"/>
      <c r="K109" s="25"/>
      <c r="L109" s="25"/>
      <c r="M109" s="25"/>
      <c r="N109" s="25"/>
      <c r="O109" s="25"/>
      <c r="P109" s="25"/>
      <c r="Q109" s="21">
        <f t="shared" si="6"/>
        <v>2.34</v>
      </c>
      <c r="R109" s="3"/>
    </row>
    <row r="110" s="5" customFormat="1" spans="1:18">
      <c r="A110" s="25">
        <v>104017</v>
      </c>
      <c r="B110" s="25">
        <v>104</v>
      </c>
      <c r="C110" s="26"/>
      <c r="D110" s="24"/>
      <c r="E110" s="25"/>
      <c r="F110" s="25">
        <v>17</v>
      </c>
      <c r="G110" s="21"/>
      <c r="H110" s="25"/>
      <c r="I110" s="25"/>
      <c r="J110" s="25"/>
      <c r="K110" s="25"/>
      <c r="L110" s="25"/>
      <c r="M110" s="25"/>
      <c r="N110" s="25"/>
      <c r="O110" s="25"/>
      <c r="P110" s="25"/>
      <c r="Q110" s="21">
        <f t="shared" si="6"/>
        <v>2.53</v>
      </c>
      <c r="R110" s="3"/>
    </row>
    <row r="111" s="5" customFormat="1" spans="1:18">
      <c r="A111" s="25">
        <v>104018</v>
      </c>
      <c r="B111" s="25">
        <v>104</v>
      </c>
      <c r="C111" s="26"/>
      <c r="D111" s="24"/>
      <c r="E111" s="25"/>
      <c r="F111" s="25">
        <v>18</v>
      </c>
      <c r="G111" s="21"/>
      <c r="H111" s="25"/>
      <c r="I111" s="25"/>
      <c r="J111" s="25"/>
      <c r="K111" s="25"/>
      <c r="L111" s="25"/>
      <c r="M111" s="25"/>
      <c r="N111" s="25"/>
      <c r="O111" s="25"/>
      <c r="P111" s="25"/>
      <c r="Q111" s="21">
        <f t="shared" si="6"/>
        <v>2.74</v>
      </c>
      <c r="R111" s="3"/>
    </row>
    <row r="112" s="5" customFormat="1" spans="1:18">
      <c r="A112" s="25">
        <v>104019</v>
      </c>
      <c r="B112" s="25">
        <v>104</v>
      </c>
      <c r="C112" s="26"/>
      <c r="D112" s="24"/>
      <c r="E112" s="25"/>
      <c r="F112" s="25">
        <v>19</v>
      </c>
      <c r="G112" s="21"/>
      <c r="H112" s="25"/>
      <c r="I112" s="25"/>
      <c r="J112" s="25"/>
      <c r="K112" s="25"/>
      <c r="L112" s="25"/>
      <c r="M112" s="25"/>
      <c r="N112" s="25"/>
      <c r="O112" s="25"/>
      <c r="P112" s="25"/>
      <c r="Q112" s="21">
        <f t="shared" si="6"/>
        <v>2.96</v>
      </c>
      <c r="R112" s="3"/>
    </row>
    <row r="113" s="5" customFormat="1" spans="1:18">
      <c r="A113" s="25">
        <v>104020</v>
      </c>
      <c r="B113" s="25">
        <v>104</v>
      </c>
      <c r="C113" s="26"/>
      <c r="D113" s="24"/>
      <c r="E113" s="25"/>
      <c r="F113" s="25">
        <v>20</v>
      </c>
      <c r="G113" s="21"/>
      <c r="H113" s="25"/>
      <c r="I113" s="25"/>
      <c r="J113" s="25"/>
      <c r="K113" s="25"/>
      <c r="L113" s="25"/>
      <c r="M113" s="25"/>
      <c r="N113" s="25"/>
      <c r="O113" s="25"/>
      <c r="P113" s="25"/>
      <c r="Q113" s="21">
        <f t="shared" si="6"/>
        <v>3.2</v>
      </c>
      <c r="R113" s="3"/>
    </row>
    <row r="114" s="6" customFormat="1" spans="1:18">
      <c r="A114" s="25">
        <v>104021</v>
      </c>
      <c r="B114" s="25">
        <v>104</v>
      </c>
      <c r="C114" s="27"/>
      <c r="D114" s="27"/>
      <c r="E114" s="27"/>
      <c r="F114" s="25">
        <v>21</v>
      </c>
      <c r="G114" s="21"/>
      <c r="H114" s="27"/>
      <c r="I114" s="27"/>
      <c r="J114" s="27"/>
      <c r="K114" s="27"/>
      <c r="L114" s="27"/>
      <c r="M114" s="27"/>
      <c r="N114" s="27"/>
      <c r="O114" s="27"/>
      <c r="P114" s="27"/>
      <c r="Q114" s="21">
        <f t="shared" ref="Q114:Q123" si="7">ROUNDUP(Q113*1.08,2)</f>
        <v>3.46</v>
      </c>
    </row>
    <row r="115" s="6" customFormat="1" spans="1:18">
      <c r="A115" s="25">
        <v>104022</v>
      </c>
      <c r="B115" s="25">
        <v>104</v>
      </c>
      <c r="C115" s="27"/>
      <c r="D115" s="27"/>
      <c r="E115" s="27"/>
      <c r="F115" s="25">
        <v>22</v>
      </c>
      <c r="G115" s="21"/>
      <c r="H115" s="27"/>
      <c r="I115" s="27"/>
      <c r="J115" s="27"/>
      <c r="K115" s="27"/>
      <c r="L115" s="27"/>
      <c r="M115" s="27"/>
      <c r="N115" s="27"/>
      <c r="O115" s="27"/>
      <c r="P115" s="27"/>
      <c r="Q115" s="21">
        <f t="shared" si="7"/>
        <v>3.74</v>
      </c>
    </row>
    <row r="116" s="6" customFormat="1" spans="1:18">
      <c r="A116" s="25">
        <v>104023</v>
      </c>
      <c r="B116" s="25">
        <v>104</v>
      </c>
      <c r="C116" s="27"/>
      <c r="D116" s="27"/>
      <c r="E116" s="27"/>
      <c r="F116" s="25">
        <v>23</v>
      </c>
      <c r="G116" s="21"/>
      <c r="H116" s="27"/>
      <c r="I116" s="27"/>
      <c r="J116" s="27"/>
      <c r="K116" s="27"/>
      <c r="L116" s="27"/>
      <c r="M116" s="27"/>
      <c r="N116" s="27"/>
      <c r="O116" s="27"/>
      <c r="P116" s="27"/>
      <c r="Q116" s="21">
        <f t="shared" si="7"/>
        <v>4.04</v>
      </c>
    </row>
    <row r="117" s="6" customFormat="1" spans="1:18">
      <c r="A117" s="25">
        <v>104024</v>
      </c>
      <c r="B117" s="25">
        <v>104</v>
      </c>
      <c r="C117" s="27"/>
      <c r="D117" s="27"/>
      <c r="E117" s="27"/>
      <c r="F117" s="25">
        <v>24</v>
      </c>
      <c r="G117" s="21"/>
      <c r="H117" s="27"/>
      <c r="I117" s="27"/>
      <c r="J117" s="27"/>
      <c r="K117" s="27"/>
      <c r="L117" s="27"/>
      <c r="M117" s="27"/>
      <c r="N117" s="27"/>
      <c r="O117" s="27"/>
      <c r="P117" s="27"/>
      <c r="Q117" s="21">
        <f t="shared" si="7"/>
        <v>4.37</v>
      </c>
    </row>
    <row r="118" s="6" customFormat="1" spans="1:18">
      <c r="A118" s="25">
        <v>104025</v>
      </c>
      <c r="B118" s="25">
        <v>104</v>
      </c>
      <c r="C118" s="27"/>
      <c r="D118" s="27"/>
      <c r="E118" s="27"/>
      <c r="F118" s="25">
        <v>25</v>
      </c>
      <c r="G118" s="21"/>
      <c r="H118" s="27"/>
      <c r="I118" s="27"/>
      <c r="J118" s="27"/>
      <c r="K118" s="27"/>
      <c r="L118" s="27"/>
      <c r="M118" s="27"/>
      <c r="N118" s="27"/>
      <c r="O118" s="27"/>
      <c r="P118" s="27"/>
      <c r="Q118" s="21">
        <f t="shared" si="7"/>
        <v>4.72</v>
      </c>
    </row>
    <row r="119" s="6" customFormat="1" spans="1:18">
      <c r="A119" s="25">
        <v>104026</v>
      </c>
      <c r="B119" s="25">
        <v>104</v>
      </c>
      <c r="C119" s="27"/>
      <c r="D119" s="27"/>
      <c r="E119" s="27"/>
      <c r="F119" s="25">
        <v>26</v>
      </c>
      <c r="G119" s="21"/>
      <c r="H119" s="27"/>
      <c r="I119" s="27"/>
      <c r="J119" s="27"/>
      <c r="K119" s="27"/>
      <c r="L119" s="27"/>
      <c r="M119" s="27"/>
      <c r="N119" s="27"/>
      <c r="O119" s="27"/>
      <c r="P119" s="27"/>
      <c r="Q119" s="21">
        <f t="shared" si="7"/>
        <v>5.1</v>
      </c>
    </row>
    <row r="120" s="6" customFormat="1" spans="1:18">
      <c r="A120" s="25">
        <v>104027</v>
      </c>
      <c r="B120" s="25">
        <v>104</v>
      </c>
      <c r="C120" s="27"/>
      <c r="D120" s="27"/>
      <c r="E120" s="27"/>
      <c r="F120" s="25">
        <v>27</v>
      </c>
      <c r="G120" s="21"/>
      <c r="H120" s="27"/>
      <c r="I120" s="27"/>
      <c r="J120" s="27"/>
      <c r="K120" s="27"/>
      <c r="L120" s="27"/>
      <c r="M120" s="27"/>
      <c r="N120" s="27"/>
      <c r="O120" s="27"/>
      <c r="P120" s="27"/>
      <c r="Q120" s="21">
        <f t="shared" si="7"/>
        <v>5.51</v>
      </c>
    </row>
    <row r="121" s="6" customFormat="1" spans="1:18">
      <c r="A121" s="25">
        <v>104028</v>
      </c>
      <c r="B121" s="25">
        <v>104</v>
      </c>
      <c r="C121" s="27"/>
      <c r="D121" s="27"/>
      <c r="E121" s="27"/>
      <c r="F121" s="25">
        <v>28</v>
      </c>
      <c r="G121" s="21"/>
      <c r="H121" s="27"/>
      <c r="I121" s="27"/>
      <c r="J121" s="27"/>
      <c r="K121" s="27"/>
      <c r="L121" s="27"/>
      <c r="M121" s="27"/>
      <c r="N121" s="27"/>
      <c r="O121" s="27"/>
      <c r="P121" s="27"/>
      <c r="Q121" s="21">
        <f t="shared" si="7"/>
        <v>5.96</v>
      </c>
    </row>
    <row r="122" s="6" customFormat="1" spans="1:18">
      <c r="A122" s="25">
        <v>104029</v>
      </c>
      <c r="B122" s="25">
        <v>104</v>
      </c>
      <c r="C122" s="27"/>
      <c r="D122" s="27"/>
      <c r="E122" s="27"/>
      <c r="F122" s="25">
        <v>29</v>
      </c>
      <c r="G122" s="21"/>
      <c r="H122" s="27"/>
      <c r="I122" s="27"/>
      <c r="J122" s="27"/>
      <c r="K122" s="27"/>
      <c r="L122" s="27"/>
      <c r="M122" s="27"/>
      <c r="N122" s="27"/>
      <c r="O122" s="27"/>
      <c r="P122" s="27"/>
      <c r="Q122" s="21">
        <f t="shared" si="7"/>
        <v>6.44</v>
      </c>
    </row>
    <row r="123" s="6" customFormat="1" spans="1:18">
      <c r="A123" s="25">
        <v>104030</v>
      </c>
      <c r="B123" s="25">
        <v>104</v>
      </c>
      <c r="C123" s="27"/>
      <c r="D123" s="27"/>
      <c r="E123" s="27"/>
      <c r="F123" s="25">
        <v>30</v>
      </c>
      <c r="G123" s="21"/>
      <c r="H123" s="27"/>
      <c r="I123" s="27"/>
      <c r="J123" s="27"/>
      <c r="K123" s="27"/>
      <c r="L123" s="27"/>
      <c r="M123" s="27"/>
      <c r="N123" s="27"/>
      <c r="O123" s="27"/>
      <c r="P123" s="27"/>
      <c r="Q123" s="21">
        <f t="shared" si="7"/>
        <v>6.96</v>
      </c>
    </row>
    <row r="124" s="6" customFormat="1" spans="1:18">
      <c r="A124" s="27">
        <v>105001</v>
      </c>
      <c r="B124" s="27">
        <v>105</v>
      </c>
      <c r="C124" s="27" t="s">
        <v>48</v>
      </c>
      <c r="D124" s="27" t="s">
        <v>49</v>
      </c>
      <c r="E124" s="27" t="s">
        <v>50</v>
      </c>
      <c r="F124" s="27">
        <v>1</v>
      </c>
      <c r="G124" s="21">
        <v>0.8</v>
      </c>
      <c r="H124" s="27">
        <v>3</v>
      </c>
      <c r="I124" s="27">
        <v>4</v>
      </c>
      <c r="J124" s="27">
        <v>1000</v>
      </c>
      <c r="K124" s="27">
        <v>2</v>
      </c>
      <c r="L124" s="27"/>
      <c r="M124" s="27"/>
      <c r="N124" s="27"/>
      <c r="O124" s="27"/>
      <c r="P124" s="27"/>
      <c r="Q124" s="27"/>
    </row>
    <row r="125" s="6" customFormat="1" spans="1:18">
      <c r="A125" s="27">
        <v>105002</v>
      </c>
      <c r="B125" s="27">
        <v>105</v>
      </c>
      <c r="C125" s="27"/>
      <c r="D125" s="27"/>
      <c r="E125" s="27"/>
      <c r="F125" s="27">
        <v>2</v>
      </c>
      <c r="G125" s="21">
        <f>ROUNDUP(G124*1.08,2)</f>
        <v>0.87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</row>
    <row r="126" s="6" customFormat="1" spans="1:18">
      <c r="A126" s="27">
        <v>105003</v>
      </c>
      <c r="B126" s="27">
        <v>105</v>
      </c>
      <c r="C126" s="27"/>
      <c r="D126" s="27"/>
      <c r="E126" s="27"/>
      <c r="F126" s="27">
        <v>3</v>
      </c>
      <c r="G126" s="21">
        <f t="shared" ref="G126:G136" si="8">ROUNDUP(G125*1.08,2)</f>
        <v>0.94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</row>
    <row r="127" s="6" customFormat="1" spans="1:18">
      <c r="A127" s="27">
        <v>105004</v>
      </c>
      <c r="B127" s="27">
        <v>105</v>
      </c>
      <c r="C127" s="27"/>
      <c r="D127" s="27"/>
      <c r="E127" s="27"/>
      <c r="F127" s="27">
        <v>4</v>
      </c>
      <c r="G127" s="21">
        <f t="shared" si="8"/>
        <v>1.02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</row>
    <row r="128" s="6" customFormat="1" spans="1:18">
      <c r="A128" s="27">
        <v>105005</v>
      </c>
      <c r="B128" s="27">
        <v>105</v>
      </c>
      <c r="C128" s="27"/>
      <c r="D128" s="27"/>
      <c r="E128" s="27"/>
      <c r="F128" s="27">
        <v>5</v>
      </c>
      <c r="G128" s="21">
        <f t="shared" si="8"/>
        <v>1.11</v>
      </c>
      <c r="H128" s="27"/>
      <c r="I128" s="27"/>
      <c r="J128" s="27"/>
      <c r="K128" s="27"/>
      <c r="L128" s="27"/>
      <c r="M128" s="27"/>
      <c r="N128" s="27"/>
      <c r="O128" s="27"/>
      <c r="P128" s="27"/>
      <c r="Q128" s="27"/>
    </row>
    <row r="129" s="6" customFormat="1" spans="1:18">
      <c r="A129" s="27">
        <v>105006</v>
      </c>
      <c r="B129" s="27">
        <v>105</v>
      </c>
      <c r="C129" s="27"/>
      <c r="D129" s="27"/>
      <c r="E129" s="27"/>
      <c r="F129" s="27">
        <v>6</v>
      </c>
      <c r="G129" s="21">
        <f t="shared" si="8"/>
        <v>1.2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</row>
    <row r="130" s="6" customFormat="1" spans="1:18">
      <c r="A130" s="27">
        <v>105007</v>
      </c>
      <c r="B130" s="27">
        <v>105</v>
      </c>
      <c r="C130" s="27"/>
      <c r="D130" s="27"/>
      <c r="E130" s="27"/>
      <c r="F130" s="27">
        <v>7</v>
      </c>
      <c r="G130" s="21">
        <f t="shared" si="8"/>
        <v>1.3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</row>
    <row r="131" s="6" customFormat="1" spans="1:18">
      <c r="A131" s="27">
        <v>105008</v>
      </c>
      <c r="B131" s="27">
        <v>105</v>
      </c>
      <c r="C131" s="27"/>
      <c r="D131" s="27"/>
      <c r="E131" s="27"/>
      <c r="F131" s="27">
        <v>8</v>
      </c>
      <c r="G131" s="21">
        <f t="shared" si="8"/>
        <v>1.41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</row>
    <row r="132" s="6" customFormat="1" spans="1:18">
      <c r="A132" s="27">
        <v>105009</v>
      </c>
      <c r="B132" s="27">
        <v>105</v>
      </c>
      <c r="C132" s="27"/>
      <c r="D132" s="27"/>
      <c r="E132" s="27"/>
      <c r="F132" s="27">
        <v>9</v>
      </c>
      <c r="G132" s="21">
        <f t="shared" si="8"/>
        <v>1.53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</row>
    <row r="133" s="6" customFormat="1" spans="1:18">
      <c r="A133" s="27">
        <v>105010</v>
      </c>
      <c r="B133" s="27">
        <v>105</v>
      </c>
      <c r="C133" s="27"/>
      <c r="D133" s="27"/>
      <c r="E133" s="27"/>
      <c r="F133" s="27">
        <v>10</v>
      </c>
      <c r="G133" s="21">
        <f t="shared" si="8"/>
        <v>1.66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</row>
    <row r="134" s="6" customFormat="1" spans="1:18">
      <c r="A134" s="27">
        <v>105011</v>
      </c>
      <c r="B134" s="27">
        <v>105</v>
      </c>
      <c r="C134" s="27"/>
      <c r="D134" s="27"/>
      <c r="E134" s="27"/>
      <c r="F134" s="27">
        <v>11</v>
      </c>
      <c r="G134" s="21">
        <f t="shared" si="8"/>
        <v>1.8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</row>
    <row r="135" s="6" customFormat="1" spans="1:18">
      <c r="A135" s="27">
        <v>105012</v>
      </c>
      <c r="B135" s="27">
        <v>105</v>
      </c>
      <c r="C135" s="27"/>
      <c r="D135" s="27"/>
      <c r="E135" s="27"/>
      <c r="F135" s="27">
        <v>12</v>
      </c>
      <c r="G135" s="21">
        <f t="shared" si="8"/>
        <v>1.95</v>
      </c>
      <c r="H135" s="27"/>
      <c r="I135" s="27"/>
      <c r="J135" s="27"/>
      <c r="K135" s="27"/>
      <c r="L135" s="27"/>
      <c r="M135" s="27"/>
      <c r="N135" s="27"/>
      <c r="O135" s="27"/>
      <c r="P135" s="27"/>
      <c r="Q135" s="27"/>
    </row>
    <row r="136" s="6" customFormat="1" spans="1:18">
      <c r="A136" s="27">
        <v>105013</v>
      </c>
      <c r="B136" s="27">
        <v>105</v>
      </c>
      <c r="C136" s="27"/>
      <c r="D136" s="27"/>
      <c r="E136" s="27"/>
      <c r="F136" s="27">
        <v>13</v>
      </c>
      <c r="G136" s="21">
        <f t="shared" si="8"/>
        <v>2.11</v>
      </c>
      <c r="H136" s="27"/>
      <c r="I136" s="27"/>
      <c r="J136" s="27"/>
      <c r="K136" s="27"/>
      <c r="L136" s="27"/>
      <c r="M136" s="27"/>
      <c r="N136" s="27"/>
      <c r="O136" s="27"/>
      <c r="P136" s="27"/>
      <c r="Q136" s="27"/>
    </row>
    <row r="137" s="6" customFormat="1" spans="1:18">
      <c r="A137" s="27">
        <v>105014</v>
      </c>
      <c r="B137" s="27">
        <v>105</v>
      </c>
      <c r="C137" s="27"/>
      <c r="D137" s="27"/>
      <c r="E137" s="27"/>
      <c r="F137" s="27">
        <v>14</v>
      </c>
      <c r="G137" s="21">
        <f t="shared" ref="G137:G143" si="9">ROUNDUP(G136*1.08,2)</f>
        <v>2.28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/>
    </row>
    <row r="138" s="6" customFormat="1" spans="1:18">
      <c r="A138" s="27">
        <v>105015</v>
      </c>
      <c r="B138" s="27">
        <v>105</v>
      </c>
      <c r="C138" s="27"/>
      <c r="D138" s="27"/>
      <c r="E138" s="27"/>
      <c r="F138" s="27">
        <v>15</v>
      </c>
      <c r="G138" s="21">
        <f t="shared" si="9"/>
        <v>2.47</v>
      </c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r="139" s="6" customFormat="1" spans="1:18">
      <c r="A139" s="27">
        <v>105016</v>
      </c>
      <c r="B139" s="27">
        <v>105</v>
      </c>
      <c r="C139" s="27"/>
      <c r="D139" s="27"/>
      <c r="E139" s="27"/>
      <c r="F139" s="27">
        <v>16</v>
      </c>
      <c r="G139" s="21">
        <f t="shared" si="9"/>
        <v>2.67</v>
      </c>
      <c r="H139" s="27"/>
      <c r="I139" s="27"/>
      <c r="J139" s="27"/>
      <c r="K139" s="27"/>
      <c r="L139" s="27"/>
      <c r="M139" s="27"/>
      <c r="N139" s="27"/>
      <c r="O139" s="27"/>
      <c r="P139" s="27"/>
      <c r="Q139" s="27"/>
    </row>
    <row r="140" s="6" customFormat="1" spans="1:18">
      <c r="A140" s="27">
        <v>105017</v>
      </c>
      <c r="B140" s="27">
        <v>105</v>
      </c>
      <c r="C140" s="27"/>
      <c r="D140" s="27"/>
      <c r="E140" s="27"/>
      <c r="F140" s="27">
        <v>17</v>
      </c>
      <c r="G140" s="21">
        <f t="shared" si="9"/>
        <v>2.89</v>
      </c>
      <c r="H140" s="27"/>
      <c r="I140" s="27"/>
      <c r="J140" s="27"/>
      <c r="K140" s="27"/>
      <c r="L140" s="27"/>
      <c r="M140" s="27"/>
      <c r="N140" s="27"/>
      <c r="O140" s="27"/>
      <c r="P140" s="27"/>
      <c r="Q140" s="27"/>
    </row>
    <row r="141" s="6" customFormat="1" spans="1:18">
      <c r="A141" s="27">
        <v>105018</v>
      </c>
      <c r="B141" s="27">
        <v>105</v>
      </c>
      <c r="C141" s="27"/>
      <c r="D141" s="27"/>
      <c r="E141" s="27"/>
      <c r="F141" s="27">
        <v>18</v>
      </c>
      <c r="G141" s="21">
        <f t="shared" si="9"/>
        <v>3.13</v>
      </c>
      <c r="H141" s="27"/>
      <c r="I141" s="27"/>
      <c r="J141" s="27"/>
      <c r="K141" s="27"/>
      <c r="L141" s="27"/>
      <c r="M141" s="27"/>
      <c r="N141" s="27"/>
      <c r="O141" s="27"/>
      <c r="P141" s="27"/>
      <c r="Q141" s="27"/>
    </row>
    <row r="142" s="6" customFormat="1" spans="1:18">
      <c r="A142" s="27">
        <v>105019</v>
      </c>
      <c r="B142" s="27">
        <v>105</v>
      </c>
      <c r="C142" s="27"/>
      <c r="D142" s="27"/>
      <c r="E142" s="27"/>
      <c r="F142" s="27">
        <v>19</v>
      </c>
      <c r="G142" s="21">
        <f t="shared" si="9"/>
        <v>3.39</v>
      </c>
      <c r="H142" s="27"/>
      <c r="I142" s="27"/>
      <c r="J142" s="27"/>
      <c r="K142" s="27"/>
      <c r="L142" s="27"/>
      <c r="M142" s="27"/>
      <c r="N142" s="27"/>
      <c r="O142" s="27"/>
      <c r="P142" s="27"/>
      <c r="Q142" s="27"/>
    </row>
    <row r="143" s="6" customFormat="1" spans="1:18">
      <c r="A143" s="27">
        <v>105020</v>
      </c>
      <c r="B143" s="27">
        <v>105</v>
      </c>
      <c r="C143" s="27"/>
      <c r="D143" s="27"/>
      <c r="E143" s="27"/>
      <c r="F143" s="27">
        <v>20</v>
      </c>
      <c r="G143" s="21">
        <f t="shared" si="9"/>
        <v>3.67</v>
      </c>
      <c r="H143" s="27"/>
      <c r="I143" s="27"/>
      <c r="J143" s="27"/>
      <c r="K143" s="27"/>
      <c r="L143" s="27"/>
      <c r="M143" s="27"/>
      <c r="N143" s="27"/>
      <c r="O143" s="27"/>
      <c r="P143" s="27"/>
      <c r="Q143" s="27"/>
    </row>
    <row r="144" s="7" customFormat="1" spans="1:18">
      <c r="A144" s="27">
        <v>105021</v>
      </c>
      <c r="B144" s="27">
        <v>105</v>
      </c>
      <c r="C144" s="28"/>
      <c r="D144" s="28"/>
      <c r="E144" s="28"/>
      <c r="F144" s="27">
        <v>21</v>
      </c>
      <c r="G144" s="21">
        <f t="shared" ref="G144:G153" si="10">ROUNDUP(G143*1.08,2)</f>
        <v>3.97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3"/>
    </row>
    <row r="145" s="7" customFormat="1" spans="1:18">
      <c r="A145" s="27">
        <v>105022</v>
      </c>
      <c r="B145" s="27">
        <v>105</v>
      </c>
      <c r="C145" s="28"/>
      <c r="D145" s="28"/>
      <c r="E145" s="28"/>
      <c r="F145" s="27">
        <v>22</v>
      </c>
      <c r="G145" s="21">
        <f t="shared" si="10"/>
        <v>4.29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3"/>
    </row>
    <row r="146" s="7" customFormat="1" spans="1:18">
      <c r="A146" s="27">
        <v>105023</v>
      </c>
      <c r="B146" s="27">
        <v>105</v>
      </c>
      <c r="C146" s="28"/>
      <c r="D146" s="28"/>
      <c r="E146" s="28"/>
      <c r="F146" s="27">
        <v>23</v>
      </c>
      <c r="G146" s="21">
        <f t="shared" si="10"/>
        <v>4.64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3"/>
    </row>
    <row r="147" s="7" customFormat="1" spans="1:18">
      <c r="A147" s="27">
        <v>105024</v>
      </c>
      <c r="B147" s="27">
        <v>105</v>
      </c>
      <c r="C147" s="28"/>
      <c r="D147" s="28"/>
      <c r="E147" s="28"/>
      <c r="F147" s="27">
        <v>24</v>
      </c>
      <c r="G147" s="21">
        <f t="shared" si="10"/>
        <v>5.02</v>
      </c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3"/>
    </row>
    <row r="148" s="7" customFormat="1" spans="1:18">
      <c r="A148" s="27">
        <v>105025</v>
      </c>
      <c r="B148" s="27">
        <v>105</v>
      </c>
      <c r="C148" s="28"/>
      <c r="D148" s="28"/>
      <c r="E148" s="28"/>
      <c r="F148" s="27">
        <v>25</v>
      </c>
      <c r="G148" s="21">
        <f t="shared" si="10"/>
        <v>5.43</v>
      </c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3"/>
    </row>
    <row r="149" s="7" customFormat="1" spans="1:18">
      <c r="A149" s="27">
        <v>105026</v>
      </c>
      <c r="B149" s="27">
        <v>105</v>
      </c>
      <c r="C149" s="28"/>
      <c r="D149" s="28"/>
      <c r="E149" s="28"/>
      <c r="F149" s="27">
        <v>26</v>
      </c>
      <c r="G149" s="21">
        <f t="shared" si="10"/>
        <v>5.87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3"/>
    </row>
    <row r="150" s="7" customFormat="1" spans="1:18">
      <c r="A150" s="27">
        <v>105027</v>
      </c>
      <c r="B150" s="27">
        <v>105</v>
      </c>
      <c r="C150" s="28"/>
      <c r="D150" s="28"/>
      <c r="E150" s="28"/>
      <c r="F150" s="27">
        <v>27</v>
      </c>
      <c r="G150" s="21">
        <f t="shared" si="10"/>
        <v>6.34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3"/>
    </row>
    <row r="151" s="7" customFormat="1" spans="1:18">
      <c r="A151" s="27">
        <v>105028</v>
      </c>
      <c r="B151" s="27">
        <v>105</v>
      </c>
      <c r="C151" s="28"/>
      <c r="D151" s="28"/>
      <c r="E151" s="28"/>
      <c r="F151" s="27">
        <v>28</v>
      </c>
      <c r="G151" s="21">
        <f t="shared" si="10"/>
        <v>6.85</v>
      </c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3"/>
    </row>
    <row r="152" s="7" customFormat="1" spans="1:18">
      <c r="A152" s="27">
        <v>105029</v>
      </c>
      <c r="B152" s="27">
        <v>105</v>
      </c>
      <c r="C152" s="28"/>
      <c r="D152" s="28"/>
      <c r="E152" s="28"/>
      <c r="F152" s="27">
        <v>29</v>
      </c>
      <c r="G152" s="21">
        <f t="shared" si="10"/>
        <v>7.4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3"/>
    </row>
    <row r="153" s="7" customFormat="1" spans="1:18">
      <c r="A153" s="27">
        <v>105030</v>
      </c>
      <c r="B153" s="27">
        <v>105</v>
      </c>
      <c r="C153" s="28"/>
      <c r="D153" s="28"/>
      <c r="E153" s="28"/>
      <c r="F153" s="27">
        <v>30</v>
      </c>
      <c r="G153" s="21">
        <f t="shared" si="10"/>
        <v>8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3"/>
    </row>
    <row r="154" s="7" customFormat="1" spans="1:18">
      <c r="A154" s="28">
        <v>106001</v>
      </c>
      <c r="B154" s="28">
        <v>106</v>
      </c>
      <c r="C154" s="28" t="s">
        <v>51</v>
      </c>
      <c r="D154" s="28" t="s">
        <v>52</v>
      </c>
      <c r="E154" s="28" t="s">
        <v>53</v>
      </c>
      <c r="F154" s="28">
        <v>1</v>
      </c>
      <c r="G154" s="21">
        <v>0</v>
      </c>
      <c r="H154" s="28">
        <v>3</v>
      </c>
      <c r="I154" s="28">
        <v>6</v>
      </c>
      <c r="J154" s="28">
        <v>800</v>
      </c>
      <c r="K154" s="28">
        <v>-1</v>
      </c>
      <c r="L154" s="28"/>
      <c r="M154" s="28"/>
      <c r="N154" s="28"/>
      <c r="O154" s="28"/>
      <c r="P154" s="28"/>
      <c r="Q154" s="28">
        <v>0.8</v>
      </c>
      <c r="R154" s="3"/>
    </row>
    <row r="155" s="7" customFormat="1" spans="1:18">
      <c r="A155" s="28">
        <v>106002</v>
      </c>
      <c r="B155" s="28">
        <v>106</v>
      </c>
      <c r="C155" s="28"/>
      <c r="D155" s="28"/>
      <c r="E155" s="28"/>
      <c r="F155" s="28">
        <v>2</v>
      </c>
      <c r="G155" s="21"/>
      <c r="H155" s="28"/>
      <c r="I155" s="28"/>
      <c r="J155" s="28"/>
      <c r="K155" s="28"/>
      <c r="L155" s="28"/>
      <c r="M155" s="28"/>
      <c r="N155" s="28"/>
      <c r="O155" s="28"/>
      <c r="P155" s="28"/>
      <c r="Q155" s="21">
        <f>ROUNDUP(Q154*1.08,2)</f>
        <v>0.87</v>
      </c>
      <c r="R155" s="3"/>
    </row>
    <row r="156" s="7" customFormat="1" spans="1:18">
      <c r="A156" s="28">
        <v>106003</v>
      </c>
      <c r="B156" s="28">
        <v>106</v>
      </c>
      <c r="C156" s="28"/>
      <c r="D156" s="28"/>
      <c r="E156" s="28"/>
      <c r="F156" s="28">
        <v>3</v>
      </c>
      <c r="G156" s="21"/>
      <c r="H156" s="28"/>
      <c r="I156" s="28"/>
      <c r="J156" s="28"/>
      <c r="K156" s="28"/>
      <c r="L156" s="28"/>
      <c r="M156" s="28"/>
      <c r="N156" s="28"/>
      <c r="O156" s="28"/>
      <c r="P156" s="28"/>
      <c r="Q156" s="21">
        <f t="shared" ref="Q156:Q173" si="11">ROUNDUP(Q155*1.08,2)</f>
        <v>0.94</v>
      </c>
      <c r="R156" s="3"/>
    </row>
    <row r="157" s="7" customFormat="1" spans="1:18">
      <c r="A157" s="28">
        <v>106004</v>
      </c>
      <c r="B157" s="28">
        <v>106</v>
      </c>
      <c r="C157" s="28"/>
      <c r="D157" s="28"/>
      <c r="E157" s="28"/>
      <c r="F157" s="28">
        <v>4</v>
      </c>
      <c r="G157" s="21"/>
      <c r="H157" s="28"/>
      <c r="I157" s="28"/>
      <c r="J157" s="28"/>
      <c r="K157" s="28"/>
      <c r="L157" s="28"/>
      <c r="M157" s="28"/>
      <c r="N157" s="28"/>
      <c r="O157" s="28"/>
      <c r="P157" s="28"/>
      <c r="Q157" s="21">
        <f t="shared" si="11"/>
        <v>1.02</v>
      </c>
      <c r="R157" s="3"/>
    </row>
    <row r="158" s="7" customFormat="1" spans="1:18">
      <c r="A158" s="28">
        <v>106005</v>
      </c>
      <c r="B158" s="28">
        <v>106</v>
      </c>
      <c r="C158" s="28"/>
      <c r="D158" s="28"/>
      <c r="E158" s="28"/>
      <c r="F158" s="28">
        <v>5</v>
      </c>
      <c r="G158" s="21"/>
      <c r="H158" s="28"/>
      <c r="I158" s="28"/>
      <c r="J158" s="28"/>
      <c r="K158" s="28"/>
      <c r="L158" s="28"/>
      <c r="M158" s="28"/>
      <c r="N158" s="28"/>
      <c r="O158" s="28"/>
      <c r="P158" s="28"/>
      <c r="Q158" s="21">
        <f t="shared" si="11"/>
        <v>1.11</v>
      </c>
      <c r="R158" s="3"/>
    </row>
    <row r="159" s="7" customFormat="1" spans="1:18">
      <c r="A159" s="28">
        <v>106006</v>
      </c>
      <c r="B159" s="28">
        <v>106</v>
      </c>
      <c r="C159" s="28"/>
      <c r="D159" s="28"/>
      <c r="E159" s="28"/>
      <c r="F159" s="28">
        <v>6</v>
      </c>
      <c r="G159" s="21"/>
      <c r="H159" s="28"/>
      <c r="I159" s="28"/>
      <c r="J159" s="28"/>
      <c r="K159" s="28"/>
      <c r="L159" s="28"/>
      <c r="M159" s="28"/>
      <c r="N159" s="28"/>
      <c r="O159" s="28"/>
      <c r="P159" s="28"/>
      <c r="Q159" s="21">
        <f t="shared" si="11"/>
        <v>1.2</v>
      </c>
      <c r="R159" s="3"/>
    </row>
    <row r="160" s="7" customFormat="1" spans="1:18">
      <c r="A160" s="28">
        <v>106007</v>
      </c>
      <c r="B160" s="28">
        <v>106</v>
      </c>
      <c r="C160" s="28"/>
      <c r="D160" s="28"/>
      <c r="E160" s="28"/>
      <c r="F160" s="28">
        <v>7</v>
      </c>
      <c r="G160" s="21"/>
      <c r="H160" s="28"/>
      <c r="I160" s="28"/>
      <c r="J160" s="28"/>
      <c r="K160" s="28"/>
      <c r="L160" s="28"/>
      <c r="M160" s="28"/>
      <c r="N160" s="28"/>
      <c r="O160" s="28"/>
      <c r="P160" s="28"/>
      <c r="Q160" s="21">
        <f t="shared" si="11"/>
        <v>1.3</v>
      </c>
      <c r="R160" s="3"/>
    </row>
    <row r="161" s="7" customFormat="1" spans="1:18">
      <c r="A161" s="28">
        <v>106008</v>
      </c>
      <c r="B161" s="28">
        <v>106</v>
      </c>
      <c r="C161" s="28"/>
      <c r="D161" s="28"/>
      <c r="E161" s="28"/>
      <c r="F161" s="28">
        <v>8</v>
      </c>
      <c r="G161" s="21"/>
      <c r="H161" s="28"/>
      <c r="I161" s="28"/>
      <c r="J161" s="28"/>
      <c r="K161" s="28"/>
      <c r="L161" s="28"/>
      <c r="M161" s="28"/>
      <c r="N161" s="28"/>
      <c r="O161" s="28"/>
      <c r="P161" s="28"/>
      <c r="Q161" s="21">
        <f t="shared" si="11"/>
        <v>1.41</v>
      </c>
      <c r="R161" s="3"/>
    </row>
    <row r="162" s="7" customFormat="1" spans="1:18">
      <c r="A162" s="28">
        <v>106009</v>
      </c>
      <c r="B162" s="28">
        <v>106</v>
      </c>
      <c r="C162" s="28"/>
      <c r="D162" s="28"/>
      <c r="E162" s="28"/>
      <c r="F162" s="28">
        <v>9</v>
      </c>
      <c r="G162" s="21"/>
      <c r="H162" s="28"/>
      <c r="I162" s="28"/>
      <c r="J162" s="28"/>
      <c r="K162" s="28"/>
      <c r="L162" s="28"/>
      <c r="M162" s="28"/>
      <c r="N162" s="28"/>
      <c r="O162" s="28"/>
      <c r="P162" s="28"/>
      <c r="Q162" s="21">
        <f t="shared" si="11"/>
        <v>1.53</v>
      </c>
      <c r="R162" s="3"/>
    </row>
    <row r="163" s="7" customFormat="1" spans="1:18">
      <c r="A163" s="28">
        <v>106010</v>
      </c>
      <c r="B163" s="28">
        <v>106</v>
      </c>
      <c r="C163" s="28"/>
      <c r="D163" s="28"/>
      <c r="E163" s="28"/>
      <c r="F163" s="28">
        <v>10</v>
      </c>
      <c r="G163" s="21"/>
      <c r="H163" s="28"/>
      <c r="I163" s="28"/>
      <c r="J163" s="28"/>
      <c r="K163" s="28"/>
      <c r="L163" s="28"/>
      <c r="M163" s="28"/>
      <c r="N163" s="28"/>
      <c r="O163" s="28"/>
      <c r="P163" s="28"/>
      <c r="Q163" s="21">
        <f t="shared" si="11"/>
        <v>1.66</v>
      </c>
      <c r="R163" s="3"/>
    </row>
    <row r="164" s="7" customFormat="1" spans="1:18">
      <c r="A164" s="28">
        <v>106011</v>
      </c>
      <c r="B164" s="28">
        <v>106</v>
      </c>
      <c r="C164" s="28"/>
      <c r="D164" s="28"/>
      <c r="E164" s="28"/>
      <c r="F164" s="28">
        <v>11</v>
      </c>
      <c r="G164" s="21"/>
      <c r="H164" s="28"/>
      <c r="I164" s="28"/>
      <c r="J164" s="28"/>
      <c r="K164" s="28"/>
      <c r="L164" s="28"/>
      <c r="M164" s="28"/>
      <c r="N164" s="28"/>
      <c r="O164" s="28"/>
      <c r="P164" s="28"/>
      <c r="Q164" s="21">
        <f t="shared" si="11"/>
        <v>1.8</v>
      </c>
      <c r="R164" s="3"/>
    </row>
    <row r="165" s="7" customFormat="1" spans="1:18">
      <c r="A165" s="28">
        <v>106012</v>
      </c>
      <c r="B165" s="28">
        <v>106</v>
      </c>
      <c r="C165" s="28"/>
      <c r="D165" s="28"/>
      <c r="E165" s="28"/>
      <c r="F165" s="28">
        <v>12</v>
      </c>
      <c r="G165" s="21"/>
      <c r="H165" s="28"/>
      <c r="I165" s="28"/>
      <c r="J165" s="28"/>
      <c r="K165" s="28"/>
      <c r="L165" s="28"/>
      <c r="M165" s="28"/>
      <c r="N165" s="28"/>
      <c r="O165" s="28"/>
      <c r="P165" s="28"/>
      <c r="Q165" s="21">
        <f t="shared" si="11"/>
        <v>1.95</v>
      </c>
      <c r="R165" s="3"/>
    </row>
    <row r="166" s="7" customFormat="1" spans="1:18">
      <c r="A166" s="28">
        <v>106013</v>
      </c>
      <c r="B166" s="28">
        <v>106</v>
      </c>
      <c r="C166" s="28"/>
      <c r="D166" s="28"/>
      <c r="E166" s="28"/>
      <c r="F166" s="28">
        <v>13</v>
      </c>
      <c r="G166" s="21"/>
      <c r="H166" s="28"/>
      <c r="I166" s="28"/>
      <c r="J166" s="28"/>
      <c r="K166" s="28"/>
      <c r="L166" s="28"/>
      <c r="M166" s="28"/>
      <c r="N166" s="28"/>
      <c r="O166" s="28"/>
      <c r="P166" s="28"/>
      <c r="Q166" s="21">
        <f t="shared" si="11"/>
        <v>2.11</v>
      </c>
      <c r="R166" s="3"/>
    </row>
    <row r="167" s="7" customFormat="1" spans="1:18">
      <c r="A167" s="28">
        <v>106014</v>
      </c>
      <c r="B167" s="28">
        <v>106</v>
      </c>
      <c r="C167" s="28"/>
      <c r="D167" s="28"/>
      <c r="E167" s="28"/>
      <c r="F167" s="28">
        <v>14</v>
      </c>
      <c r="G167" s="21"/>
      <c r="H167" s="28"/>
      <c r="I167" s="28"/>
      <c r="J167" s="28"/>
      <c r="K167" s="28"/>
      <c r="L167" s="28"/>
      <c r="M167" s="28"/>
      <c r="N167" s="28"/>
      <c r="O167" s="28"/>
      <c r="P167" s="28"/>
      <c r="Q167" s="21">
        <f t="shared" si="11"/>
        <v>2.28</v>
      </c>
      <c r="R167" s="3"/>
    </row>
    <row r="168" s="7" customFormat="1" spans="1:18">
      <c r="A168" s="28">
        <v>106015</v>
      </c>
      <c r="B168" s="28">
        <v>106</v>
      </c>
      <c r="C168" s="28"/>
      <c r="D168" s="28"/>
      <c r="E168" s="28"/>
      <c r="F168" s="28">
        <v>15</v>
      </c>
      <c r="G168" s="21"/>
      <c r="H168" s="28"/>
      <c r="I168" s="28"/>
      <c r="J168" s="28"/>
      <c r="K168" s="28"/>
      <c r="L168" s="28"/>
      <c r="M168" s="28"/>
      <c r="N168" s="28"/>
      <c r="O168" s="28"/>
      <c r="P168" s="28"/>
      <c r="Q168" s="21">
        <f t="shared" si="11"/>
        <v>2.47</v>
      </c>
      <c r="R168" s="3"/>
    </row>
    <row r="169" s="7" customFormat="1" spans="1:18">
      <c r="A169" s="28">
        <v>106016</v>
      </c>
      <c r="B169" s="28">
        <v>106</v>
      </c>
      <c r="C169" s="28"/>
      <c r="D169" s="28"/>
      <c r="E169" s="28"/>
      <c r="F169" s="28">
        <v>16</v>
      </c>
      <c r="G169" s="21"/>
      <c r="H169" s="28"/>
      <c r="I169" s="28"/>
      <c r="J169" s="28"/>
      <c r="K169" s="28"/>
      <c r="L169" s="28"/>
      <c r="M169" s="28"/>
      <c r="N169" s="28"/>
      <c r="O169" s="28"/>
      <c r="P169" s="28"/>
      <c r="Q169" s="21">
        <f t="shared" si="11"/>
        <v>2.67</v>
      </c>
      <c r="R169" s="3"/>
    </row>
    <row r="170" s="7" customFormat="1" spans="1:18">
      <c r="A170" s="28">
        <v>106017</v>
      </c>
      <c r="B170" s="28">
        <v>106</v>
      </c>
      <c r="C170" s="28"/>
      <c r="D170" s="28"/>
      <c r="E170" s="28"/>
      <c r="F170" s="28">
        <v>17</v>
      </c>
      <c r="G170" s="21"/>
      <c r="H170" s="28"/>
      <c r="I170" s="28"/>
      <c r="J170" s="28"/>
      <c r="K170" s="28"/>
      <c r="L170" s="28"/>
      <c r="M170" s="28"/>
      <c r="N170" s="28"/>
      <c r="O170" s="28"/>
      <c r="P170" s="28"/>
      <c r="Q170" s="21">
        <f t="shared" si="11"/>
        <v>2.89</v>
      </c>
      <c r="R170" s="3"/>
    </row>
    <row r="171" s="7" customFormat="1" spans="1:18">
      <c r="A171" s="28">
        <v>106018</v>
      </c>
      <c r="B171" s="28">
        <v>106</v>
      </c>
      <c r="C171" s="28"/>
      <c r="D171" s="28"/>
      <c r="E171" s="28"/>
      <c r="F171" s="28">
        <v>18</v>
      </c>
      <c r="G171" s="21"/>
      <c r="H171" s="28"/>
      <c r="I171" s="28"/>
      <c r="J171" s="28"/>
      <c r="K171" s="28"/>
      <c r="L171" s="28"/>
      <c r="M171" s="28"/>
      <c r="N171" s="28"/>
      <c r="O171" s="28"/>
      <c r="P171" s="28"/>
      <c r="Q171" s="21">
        <f t="shared" si="11"/>
        <v>3.13</v>
      </c>
      <c r="R171" s="3"/>
    </row>
    <row r="172" s="7" customFormat="1" spans="1:18">
      <c r="A172" s="28">
        <v>106019</v>
      </c>
      <c r="B172" s="28">
        <v>106</v>
      </c>
      <c r="C172" s="28"/>
      <c r="D172" s="28"/>
      <c r="E172" s="28"/>
      <c r="F172" s="28">
        <v>19</v>
      </c>
      <c r="G172" s="21"/>
      <c r="H172" s="28"/>
      <c r="I172" s="28"/>
      <c r="J172" s="28"/>
      <c r="K172" s="28"/>
      <c r="L172" s="28"/>
      <c r="M172" s="28"/>
      <c r="N172" s="28"/>
      <c r="O172" s="28"/>
      <c r="P172" s="28"/>
      <c r="Q172" s="21">
        <f t="shared" si="11"/>
        <v>3.39</v>
      </c>
      <c r="R172" s="3"/>
    </row>
    <row r="173" s="7" customFormat="1" spans="1:18">
      <c r="A173" s="28">
        <v>106020</v>
      </c>
      <c r="B173" s="28">
        <v>106</v>
      </c>
      <c r="C173" s="28"/>
      <c r="D173" s="28"/>
      <c r="E173" s="28"/>
      <c r="F173" s="28">
        <v>20</v>
      </c>
      <c r="G173" s="21"/>
      <c r="H173" s="28"/>
      <c r="I173" s="28"/>
      <c r="J173" s="28"/>
      <c r="K173" s="28"/>
      <c r="L173" s="28"/>
      <c r="M173" s="28"/>
      <c r="N173" s="28"/>
      <c r="O173" s="28"/>
      <c r="P173" s="28"/>
      <c r="Q173" s="21">
        <f t="shared" si="11"/>
        <v>3.67</v>
      </c>
      <c r="R173" s="3"/>
    </row>
    <row r="174" s="8" customFormat="1" spans="1:18">
      <c r="A174" s="28">
        <v>106021</v>
      </c>
      <c r="B174" s="28">
        <v>106</v>
      </c>
      <c r="C174" s="29"/>
      <c r="D174" s="29"/>
      <c r="E174" s="30"/>
      <c r="F174" s="28">
        <v>21</v>
      </c>
      <c r="G174" s="21"/>
      <c r="H174" s="29"/>
      <c r="I174" s="29"/>
      <c r="J174" s="29"/>
      <c r="K174" s="29"/>
      <c r="L174" s="29"/>
      <c r="M174" s="29"/>
      <c r="N174" s="29"/>
      <c r="O174" s="29"/>
      <c r="P174" s="29"/>
      <c r="Q174" s="21">
        <f t="shared" ref="Q174:Q183" si="12">ROUNDUP(Q173*1.08,2)</f>
        <v>3.97</v>
      </c>
      <c r="R174" s="3"/>
    </row>
    <row r="175" s="8" customFormat="1" spans="1:18">
      <c r="A175" s="28">
        <v>106022</v>
      </c>
      <c r="B175" s="28">
        <v>106</v>
      </c>
      <c r="C175" s="29"/>
      <c r="D175" s="29"/>
      <c r="E175" s="30"/>
      <c r="F175" s="28">
        <v>22</v>
      </c>
      <c r="G175" s="21"/>
      <c r="H175" s="29"/>
      <c r="I175" s="29"/>
      <c r="J175" s="29"/>
      <c r="K175" s="29"/>
      <c r="L175" s="29"/>
      <c r="M175" s="29"/>
      <c r="N175" s="29"/>
      <c r="O175" s="29"/>
      <c r="P175" s="29"/>
      <c r="Q175" s="21">
        <f t="shared" si="12"/>
        <v>4.29</v>
      </c>
      <c r="R175" s="3"/>
    </row>
    <row r="176" s="8" customFormat="1" spans="1:18">
      <c r="A176" s="28">
        <v>106023</v>
      </c>
      <c r="B176" s="28">
        <v>106</v>
      </c>
      <c r="C176" s="29"/>
      <c r="D176" s="29"/>
      <c r="E176" s="30"/>
      <c r="F176" s="28">
        <v>23</v>
      </c>
      <c r="G176" s="21"/>
      <c r="H176" s="29"/>
      <c r="I176" s="29"/>
      <c r="J176" s="29"/>
      <c r="K176" s="29"/>
      <c r="L176" s="29"/>
      <c r="M176" s="29"/>
      <c r="N176" s="29"/>
      <c r="O176" s="29"/>
      <c r="P176" s="29"/>
      <c r="Q176" s="21">
        <f t="shared" si="12"/>
        <v>4.64</v>
      </c>
      <c r="R176" s="3"/>
    </row>
    <row r="177" s="8" customFormat="1" spans="1:18">
      <c r="A177" s="28">
        <v>106024</v>
      </c>
      <c r="B177" s="28">
        <v>106</v>
      </c>
      <c r="C177" s="29"/>
      <c r="D177" s="29"/>
      <c r="E177" s="30"/>
      <c r="F177" s="28">
        <v>24</v>
      </c>
      <c r="G177" s="21"/>
      <c r="H177" s="29"/>
      <c r="I177" s="29"/>
      <c r="J177" s="29"/>
      <c r="K177" s="29"/>
      <c r="L177" s="29"/>
      <c r="M177" s="29"/>
      <c r="N177" s="29"/>
      <c r="O177" s="29"/>
      <c r="P177" s="29"/>
      <c r="Q177" s="21">
        <f t="shared" si="12"/>
        <v>5.02</v>
      </c>
      <c r="R177" s="3"/>
    </row>
    <row r="178" s="8" customFormat="1" spans="1:18">
      <c r="A178" s="28">
        <v>106025</v>
      </c>
      <c r="B178" s="28">
        <v>106</v>
      </c>
      <c r="C178" s="29"/>
      <c r="D178" s="29"/>
      <c r="E178" s="30"/>
      <c r="F178" s="28">
        <v>25</v>
      </c>
      <c r="G178" s="21"/>
      <c r="H178" s="29"/>
      <c r="I178" s="29"/>
      <c r="J178" s="29"/>
      <c r="K178" s="29"/>
      <c r="L178" s="29"/>
      <c r="M178" s="29"/>
      <c r="N178" s="29"/>
      <c r="O178" s="29"/>
      <c r="P178" s="29"/>
      <c r="Q178" s="21">
        <f t="shared" si="12"/>
        <v>5.43</v>
      </c>
      <c r="R178" s="3"/>
    </row>
    <row r="179" s="8" customFormat="1" spans="1:18">
      <c r="A179" s="28">
        <v>106026</v>
      </c>
      <c r="B179" s="28">
        <v>106</v>
      </c>
      <c r="C179" s="29"/>
      <c r="D179" s="29"/>
      <c r="E179" s="30"/>
      <c r="F179" s="28">
        <v>26</v>
      </c>
      <c r="G179" s="21"/>
      <c r="H179" s="29"/>
      <c r="I179" s="29"/>
      <c r="J179" s="29"/>
      <c r="K179" s="29"/>
      <c r="L179" s="29"/>
      <c r="M179" s="29"/>
      <c r="N179" s="29"/>
      <c r="O179" s="29"/>
      <c r="P179" s="29"/>
      <c r="Q179" s="21">
        <f t="shared" si="12"/>
        <v>5.87</v>
      </c>
      <c r="R179" s="3"/>
    </row>
    <row r="180" s="8" customFormat="1" spans="1:18">
      <c r="A180" s="28">
        <v>106027</v>
      </c>
      <c r="B180" s="28">
        <v>106</v>
      </c>
      <c r="C180" s="29"/>
      <c r="D180" s="29"/>
      <c r="E180" s="30"/>
      <c r="F180" s="28">
        <v>27</v>
      </c>
      <c r="G180" s="21"/>
      <c r="H180" s="29"/>
      <c r="I180" s="29"/>
      <c r="J180" s="29"/>
      <c r="K180" s="29"/>
      <c r="L180" s="29"/>
      <c r="M180" s="29"/>
      <c r="N180" s="29"/>
      <c r="O180" s="29"/>
      <c r="P180" s="29"/>
      <c r="Q180" s="21">
        <f t="shared" si="12"/>
        <v>6.34</v>
      </c>
      <c r="R180" s="3"/>
    </row>
    <row r="181" s="8" customFormat="1" spans="1:18">
      <c r="A181" s="28">
        <v>106028</v>
      </c>
      <c r="B181" s="28">
        <v>106</v>
      </c>
      <c r="C181" s="29"/>
      <c r="D181" s="29"/>
      <c r="E181" s="30"/>
      <c r="F181" s="28">
        <v>28</v>
      </c>
      <c r="G181" s="21"/>
      <c r="H181" s="29"/>
      <c r="I181" s="29"/>
      <c r="J181" s="29"/>
      <c r="K181" s="29"/>
      <c r="L181" s="29"/>
      <c r="M181" s="29"/>
      <c r="N181" s="29"/>
      <c r="O181" s="29"/>
      <c r="P181" s="29"/>
      <c r="Q181" s="21">
        <f t="shared" si="12"/>
        <v>6.85</v>
      </c>
      <c r="R181" s="3"/>
    </row>
    <row r="182" s="8" customFormat="1" spans="1:18">
      <c r="A182" s="28">
        <v>106029</v>
      </c>
      <c r="B182" s="28">
        <v>106</v>
      </c>
      <c r="C182" s="29"/>
      <c r="D182" s="29"/>
      <c r="E182" s="30"/>
      <c r="F182" s="28">
        <v>29</v>
      </c>
      <c r="G182" s="21"/>
      <c r="H182" s="29"/>
      <c r="I182" s="29"/>
      <c r="J182" s="29"/>
      <c r="K182" s="29"/>
      <c r="L182" s="29"/>
      <c r="M182" s="29"/>
      <c r="N182" s="29"/>
      <c r="O182" s="29"/>
      <c r="P182" s="29"/>
      <c r="Q182" s="21">
        <f t="shared" si="12"/>
        <v>7.4</v>
      </c>
      <c r="R182" s="3"/>
    </row>
    <row r="183" s="8" customFormat="1" spans="1:18">
      <c r="A183" s="28">
        <v>106030</v>
      </c>
      <c r="B183" s="28">
        <v>106</v>
      </c>
      <c r="C183" s="29"/>
      <c r="D183" s="29"/>
      <c r="E183" s="30"/>
      <c r="F183" s="28">
        <v>30</v>
      </c>
      <c r="G183" s="21"/>
      <c r="H183" s="29"/>
      <c r="I183" s="29"/>
      <c r="J183" s="29"/>
      <c r="K183" s="29"/>
      <c r="L183" s="29"/>
      <c r="M183" s="29"/>
      <c r="N183" s="29"/>
      <c r="O183" s="29"/>
      <c r="P183" s="29"/>
      <c r="Q183" s="21">
        <f t="shared" si="12"/>
        <v>8</v>
      </c>
      <c r="R183" s="3"/>
    </row>
    <row r="184" s="8" customFormat="1" spans="1:18">
      <c r="A184" s="29">
        <v>107001</v>
      </c>
      <c r="B184" s="29">
        <v>107</v>
      </c>
      <c r="C184" s="29" t="s">
        <v>54</v>
      </c>
      <c r="D184" s="29" t="s">
        <v>40</v>
      </c>
      <c r="E184" s="31" t="s">
        <v>55</v>
      </c>
      <c r="F184" s="29">
        <v>1</v>
      </c>
      <c r="G184" s="21">
        <v>1</v>
      </c>
      <c r="H184" s="29">
        <v>4</v>
      </c>
      <c r="I184" s="29">
        <v>4</v>
      </c>
      <c r="J184" s="29">
        <v>800</v>
      </c>
      <c r="K184" s="29"/>
      <c r="L184" s="29"/>
      <c r="M184" s="29"/>
      <c r="N184" s="29"/>
      <c r="O184" s="29"/>
      <c r="P184" s="29">
        <v>110</v>
      </c>
      <c r="Q184" s="29">
        <v>0.7</v>
      </c>
      <c r="R184" s="3"/>
    </row>
    <row r="185" s="8" customFormat="1" spans="1:18">
      <c r="A185" s="29">
        <v>107002</v>
      </c>
      <c r="B185" s="29">
        <v>107</v>
      </c>
      <c r="C185" s="29"/>
      <c r="D185" s="29"/>
      <c r="E185" s="31"/>
      <c r="F185" s="29">
        <v>2</v>
      </c>
      <c r="G185" s="21">
        <f>ROUNDUP(G184*1.08,2)</f>
        <v>1.08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1">
        <f>ROUNDUP(Q184*1.08,2)</f>
        <v>0.76</v>
      </c>
      <c r="R185" s="3"/>
    </row>
    <row r="186" s="8" customFormat="1" spans="1:18">
      <c r="A186" s="29">
        <v>107003</v>
      </c>
      <c r="B186" s="29">
        <v>107</v>
      </c>
      <c r="C186" s="29"/>
      <c r="D186" s="29"/>
      <c r="E186" s="31"/>
      <c r="F186" s="29">
        <v>3</v>
      </c>
      <c r="G186" s="21">
        <f t="shared" ref="G186:G203" si="13">ROUNDUP(G185*1.08,2)</f>
        <v>1.17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1">
        <f t="shared" ref="Q186:Q203" si="14">ROUNDUP(Q185*1.08,2)</f>
        <v>0.83</v>
      </c>
      <c r="R186" s="3"/>
    </row>
    <row r="187" s="8" customFormat="1" spans="1:18">
      <c r="A187" s="29">
        <v>107004</v>
      </c>
      <c r="B187" s="29">
        <v>107</v>
      </c>
      <c r="C187" s="29"/>
      <c r="D187" s="29"/>
      <c r="E187" s="31"/>
      <c r="F187" s="29">
        <v>4</v>
      </c>
      <c r="G187" s="21">
        <f t="shared" si="13"/>
        <v>1.27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1">
        <f t="shared" si="14"/>
        <v>0.9</v>
      </c>
      <c r="R187" s="3"/>
    </row>
    <row r="188" s="8" customFormat="1" spans="1:18">
      <c r="A188" s="29">
        <v>107005</v>
      </c>
      <c r="B188" s="29">
        <v>107</v>
      </c>
      <c r="C188" s="29"/>
      <c r="D188" s="29"/>
      <c r="E188" s="31"/>
      <c r="F188" s="29">
        <v>5</v>
      </c>
      <c r="G188" s="21">
        <f t="shared" si="13"/>
        <v>1.38</v>
      </c>
      <c r="H188" s="29"/>
      <c r="I188" s="29"/>
      <c r="J188" s="29"/>
      <c r="K188" s="29"/>
      <c r="L188" s="29"/>
      <c r="M188" s="29"/>
      <c r="N188" s="29"/>
      <c r="O188" s="29"/>
      <c r="P188" s="29"/>
      <c r="Q188" s="21">
        <f t="shared" si="14"/>
        <v>0.98</v>
      </c>
      <c r="R188" s="3"/>
    </row>
    <row r="189" s="8" customFormat="1" spans="1:18">
      <c r="A189" s="29">
        <v>107006</v>
      </c>
      <c r="B189" s="29">
        <v>107</v>
      </c>
      <c r="C189" s="29"/>
      <c r="D189" s="29"/>
      <c r="E189" s="31"/>
      <c r="F189" s="29">
        <v>6</v>
      </c>
      <c r="G189" s="21">
        <f t="shared" si="13"/>
        <v>1.5</v>
      </c>
      <c r="H189" s="29"/>
      <c r="I189" s="29"/>
      <c r="J189" s="29"/>
      <c r="K189" s="29"/>
      <c r="L189" s="29"/>
      <c r="M189" s="29"/>
      <c r="N189" s="29"/>
      <c r="O189" s="29"/>
      <c r="P189" s="29"/>
      <c r="Q189" s="21">
        <f t="shared" si="14"/>
        <v>1.06</v>
      </c>
      <c r="R189" s="3"/>
    </row>
    <row r="190" s="8" customFormat="1" spans="1:18">
      <c r="A190" s="29">
        <v>107007</v>
      </c>
      <c r="B190" s="29">
        <v>107</v>
      </c>
      <c r="C190" s="29"/>
      <c r="D190" s="29"/>
      <c r="E190" s="31"/>
      <c r="F190" s="29">
        <v>7</v>
      </c>
      <c r="G190" s="21">
        <f t="shared" si="13"/>
        <v>1.62</v>
      </c>
      <c r="H190" s="29"/>
      <c r="I190" s="29"/>
      <c r="J190" s="29"/>
      <c r="K190" s="29"/>
      <c r="L190" s="29"/>
      <c r="M190" s="29"/>
      <c r="N190" s="29"/>
      <c r="O190" s="29"/>
      <c r="P190" s="29"/>
      <c r="Q190" s="21">
        <f t="shared" si="14"/>
        <v>1.15</v>
      </c>
      <c r="R190" s="3"/>
    </row>
    <row r="191" s="8" customFormat="1" spans="1:18">
      <c r="A191" s="29">
        <v>107008</v>
      </c>
      <c r="B191" s="29">
        <v>107</v>
      </c>
      <c r="C191" s="29"/>
      <c r="D191" s="29"/>
      <c r="E191" s="31"/>
      <c r="F191" s="29">
        <v>8</v>
      </c>
      <c r="G191" s="21">
        <f t="shared" si="13"/>
        <v>1.75</v>
      </c>
      <c r="H191" s="29"/>
      <c r="I191" s="29"/>
      <c r="J191" s="29"/>
      <c r="K191" s="29"/>
      <c r="L191" s="29"/>
      <c r="M191" s="29"/>
      <c r="N191" s="29"/>
      <c r="O191" s="29"/>
      <c r="P191" s="29"/>
      <c r="Q191" s="21">
        <f t="shared" si="14"/>
        <v>1.25</v>
      </c>
      <c r="R191" s="3"/>
    </row>
    <row r="192" s="8" customFormat="1" spans="1:18">
      <c r="A192" s="29">
        <v>107009</v>
      </c>
      <c r="B192" s="29">
        <v>107</v>
      </c>
      <c r="C192" s="29"/>
      <c r="D192" s="29"/>
      <c r="E192" s="31"/>
      <c r="F192" s="29">
        <v>9</v>
      </c>
      <c r="G192" s="21">
        <f t="shared" si="13"/>
        <v>1.89</v>
      </c>
      <c r="H192" s="29"/>
      <c r="I192" s="29"/>
      <c r="J192" s="29"/>
      <c r="K192" s="29"/>
      <c r="L192" s="29"/>
      <c r="M192" s="29"/>
      <c r="N192" s="29"/>
      <c r="O192" s="29"/>
      <c r="P192" s="29"/>
      <c r="Q192" s="21">
        <f t="shared" si="14"/>
        <v>1.35</v>
      </c>
      <c r="R192" s="3"/>
    </row>
    <row r="193" s="8" customFormat="1" spans="1:18">
      <c r="A193" s="29">
        <v>107010</v>
      </c>
      <c r="B193" s="29">
        <v>107</v>
      </c>
      <c r="C193" s="29"/>
      <c r="D193" s="29"/>
      <c r="E193" s="31"/>
      <c r="F193" s="29">
        <v>10</v>
      </c>
      <c r="G193" s="21">
        <f t="shared" si="13"/>
        <v>2.05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1">
        <f t="shared" si="14"/>
        <v>1.46</v>
      </c>
      <c r="R193" s="3"/>
    </row>
    <row r="194" s="8" customFormat="1" spans="1:18">
      <c r="A194" s="29">
        <v>107011</v>
      </c>
      <c r="B194" s="29">
        <v>107</v>
      </c>
      <c r="C194" s="29"/>
      <c r="D194" s="29"/>
      <c r="E194" s="31"/>
      <c r="F194" s="29">
        <v>11</v>
      </c>
      <c r="G194" s="21">
        <f t="shared" si="13"/>
        <v>2.22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1">
        <f t="shared" si="14"/>
        <v>1.58</v>
      </c>
      <c r="R194" s="3"/>
    </row>
    <row r="195" s="8" customFormat="1" spans="1:18">
      <c r="A195" s="29">
        <v>107012</v>
      </c>
      <c r="B195" s="29">
        <v>107</v>
      </c>
      <c r="C195" s="29"/>
      <c r="D195" s="29"/>
      <c r="E195" s="31"/>
      <c r="F195" s="29">
        <v>12</v>
      </c>
      <c r="G195" s="21">
        <f t="shared" si="13"/>
        <v>2.4</v>
      </c>
      <c r="H195" s="29"/>
      <c r="I195" s="29"/>
      <c r="J195" s="29"/>
      <c r="K195" s="29"/>
      <c r="L195" s="29"/>
      <c r="M195" s="29"/>
      <c r="N195" s="29"/>
      <c r="O195" s="29"/>
      <c r="P195" s="29"/>
      <c r="Q195" s="21">
        <f t="shared" si="14"/>
        <v>1.71</v>
      </c>
      <c r="R195" s="3"/>
    </row>
    <row r="196" s="8" customFormat="1" spans="1:18">
      <c r="A196" s="29">
        <v>107013</v>
      </c>
      <c r="B196" s="29">
        <v>107</v>
      </c>
      <c r="C196" s="29"/>
      <c r="D196" s="29"/>
      <c r="E196" s="31"/>
      <c r="F196" s="29">
        <v>13</v>
      </c>
      <c r="G196" s="21">
        <f t="shared" si="13"/>
        <v>2.6</v>
      </c>
      <c r="H196" s="29"/>
      <c r="I196" s="29"/>
      <c r="J196" s="29"/>
      <c r="K196" s="29"/>
      <c r="L196" s="29"/>
      <c r="M196" s="29"/>
      <c r="N196" s="29"/>
      <c r="O196" s="29"/>
      <c r="P196" s="29"/>
      <c r="Q196" s="21">
        <f t="shared" si="14"/>
        <v>1.85</v>
      </c>
      <c r="R196" s="3"/>
    </row>
    <row r="197" s="8" customFormat="1" spans="1:18">
      <c r="A197" s="29">
        <v>107014</v>
      </c>
      <c r="B197" s="29">
        <v>107</v>
      </c>
      <c r="C197" s="29"/>
      <c r="D197" s="29"/>
      <c r="E197" s="31"/>
      <c r="F197" s="29">
        <v>14</v>
      </c>
      <c r="G197" s="21">
        <f t="shared" si="13"/>
        <v>2.81</v>
      </c>
      <c r="H197" s="29"/>
      <c r="I197" s="29"/>
      <c r="J197" s="29"/>
      <c r="K197" s="29"/>
      <c r="L197" s="29"/>
      <c r="M197" s="29"/>
      <c r="N197" s="29"/>
      <c r="O197" s="29"/>
      <c r="P197" s="29"/>
      <c r="Q197" s="21">
        <f t="shared" si="14"/>
        <v>2</v>
      </c>
      <c r="R197" s="3"/>
    </row>
    <row r="198" s="8" customFormat="1" spans="1:18">
      <c r="A198" s="29">
        <v>107015</v>
      </c>
      <c r="B198" s="29">
        <v>107</v>
      </c>
      <c r="C198" s="29"/>
      <c r="D198" s="29"/>
      <c r="E198" s="31"/>
      <c r="F198" s="29">
        <v>15</v>
      </c>
      <c r="G198" s="21">
        <f t="shared" si="13"/>
        <v>3.04</v>
      </c>
      <c r="H198" s="29"/>
      <c r="I198" s="29"/>
      <c r="J198" s="29"/>
      <c r="K198" s="29"/>
      <c r="L198" s="29"/>
      <c r="M198" s="29"/>
      <c r="N198" s="29"/>
      <c r="O198" s="29"/>
      <c r="P198" s="29"/>
      <c r="Q198" s="21">
        <f t="shared" si="14"/>
        <v>2.16</v>
      </c>
      <c r="R198" s="3"/>
    </row>
    <row r="199" s="8" customFormat="1" spans="1:18">
      <c r="A199" s="29">
        <v>107016</v>
      </c>
      <c r="B199" s="29">
        <v>107</v>
      </c>
      <c r="C199" s="29"/>
      <c r="D199" s="29"/>
      <c r="E199" s="31"/>
      <c r="F199" s="29">
        <v>16</v>
      </c>
      <c r="G199" s="21">
        <f t="shared" si="13"/>
        <v>3.29</v>
      </c>
      <c r="H199" s="29"/>
      <c r="I199" s="29"/>
      <c r="J199" s="29"/>
      <c r="K199" s="29"/>
      <c r="L199" s="29"/>
      <c r="M199" s="29"/>
      <c r="N199" s="29"/>
      <c r="O199" s="29"/>
      <c r="P199" s="29"/>
      <c r="Q199" s="21">
        <f t="shared" si="14"/>
        <v>2.34</v>
      </c>
      <c r="R199" s="3"/>
    </row>
    <row r="200" s="8" customFormat="1" spans="1:18">
      <c r="A200" s="29">
        <v>107017</v>
      </c>
      <c r="B200" s="29">
        <v>107</v>
      </c>
      <c r="C200" s="29"/>
      <c r="D200" s="29"/>
      <c r="E200" s="31"/>
      <c r="F200" s="29">
        <v>17</v>
      </c>
      <c r="G200" s="21">
        <f t="shared" si="13"/>
        <v>3.56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1">
        <f t="shared" si="14"/>
        <v>2.53</v>
      </c>
      <c r="R200" s="3"/>
    </row>
    <row r="201" s="8" customFormat="1" spans="1:18">
      <c r="A201" s="29">
        <v>107018</v>
      </c>
      <c r="B201" s="29">
        <v>107</v>
      </c>
      <c r="C201" s="29"/>
      <c r="D201" s="29"/>
      <c r="E201" s="31"/>
      <c r="F201" s="29">
        <v>18</v>
      </c>
      <c r="G201" s="21">
        <f t="shared" si="13"/>
        <v>3.85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1">
        <f t="shared" si="14"/>
        <v>2.74</v>
      </c>
      <c r="R201" s="3"/>
    </row>
    <row r="202" s="8" customFormat="1" spans="1:18">
      <c r="A202" s="29">
        <v>107019</v>
      </c>
      <c r="B202" s="29">
        <v>107</v>
      </c>
      <c r="C202" s="29"/>
      <c r="D202" s="29"/>
      <c r="E202" s="31"/>
      <c r="F202" s="29">
        <v>19</v>
      </c>
      <c r="G202" s="21">
        <f t="shared" si="13"/>
        <v>4.16</v>
      </c>
      <c r="H202" s="29"/>
      <c r="I202" s="29"/>
      <c r="J202" s="29"/>
      <c r="K202" s="29"/>
      <c r="L202" s="29"/>
      <c r="M202" s="29"/>
      <c r="N202" s="29"/>
      <c r="O202" s="29"/>
      <c r="P202" s="29"/>
      <c r="Q202" s="21">
        <f t="shared" si="14"/>
        <v>2.96</v>
      </c>
      <c r="R202" s="3"/>
    </row>
    <row r="203" s="8" customFormat="1" spans="1:18">
      <c r="A203" s="29">
        <v>107020</v>
      </c>
      <c r="B203" s="29">
        <v>107</v>
      </c>
      <c r="C203" s="29"/>
      <c r="D203" s="29"/>
      <c r="E203" s="31"/>
      <c r="F203" s="29">
        <v>20</v>
      </c>
      <c r="G203" s="21">
        <f t="shared" si="13"/>
        <v>4.5</v>
      </c>
      <c r="H203" s="29"/>
      <c r="I203" s="29"/>
      <c r="J203" s="29"/>
      <c r="K203" s="29"/>
      <c r="L203" s="29"/>
      <c r="M203" s="29"/>
      <c r="N203" s="29"/>
      <c r="O203" s="29"/>
      <c r="P203" s="29"/>
      <c r="Q203" s="21">
        <f t="shared" si="14"/>
        <v>3.2</v>
      </c>
      <c r="R203" s="3"/>
    </row>
    <row r="204" s="9" customFormat="1" spans="1:18">
      <c r="A204" s="29">
        <v>107021</v>
      </c>
      <c r="B204" s="29">
        <v>107</v>
      </c>
      <c r="C204" s="32"/>
      <c r="D204" s="32"/>
      <c r="E204" s="33"/>
      <c r="F204" s="29">
        <v>21</v>
      </c>
      <c r="G204" s="21">
        <f t="shared" ref="G204:G213" si="15">ROUNDUP(G203*1.08,2)</f>
        <v>4.86</v>
      </c>
      <c r="H204" s="32"/>
      <c r="I204" s="32"/>
      <c r="J204" s="32"/>
      <c r="K204" s="32"/>
      <c r="L204" s="32"/>
      <c r="M204" s="32"/>
      <c r="N204" s="32"/>
      <c r="O204" s="32"/>
      <c r="P204" s="32"/>
      <c r="Q204" s="21">
        <f t="shared" ref="Q204:Q213" si="16">ROUNDUP(Q203*1.08,2)</f>
        <v>3.46</v>
      </c>
      <c r="R204" s="3"/>
    </row>
    <row r="205" s="9" customFormat="1" spans="1:18">
      <c r="A205" s="29">
        <v>107022</v>
      </c>
      <c r="B205" s="29">
        <v>107</v>
      </c>
      <c r="C205" s="32"/>
      <c r="D205" s="32"/>
      <c r="E205" s="33"/>
      <c r="F205" s="29">
        <v>22</v>
      </c>
      <c r="G205" s="21">
        <f t="shared" si="15"/>
        <v>5.25</v>
      </c>
      <c r="H205" s="32"/>
      <c r="I205" s="32"/>
      <c r="J205" s="32"/>
      <c r="K205" s="32"/>
      <c r="L205" s="32"/>
      <c r="M205" s="32"/>
      <c r="N205" s="32"/>
      <c r="O205" s="32"/>
      <c r="P205" s="32"/>
      <c r="Q205" s="21">
        <f t="shared" si="16"/>
        <v>3.74</v>
      </c>
      <c r="R205" s="3"/>
    </row>
    <row r="206" s="9" customFormat="1" spans="1:18">
      <c r="A206" s="29">
        <v>107023</v>
      </c>
      <c r="B206" s="29">
        <v>107</v>
      </c>
      <c r="C206" s="32"/>
      <c r="D206" s="32"/>
      <c r="E206" s="33"/>
      <c r="F206" s="29">
        <v>23</v>
      </c>
      <c r="G206" s="21">
        <f t="shared" si="15"/>
        <v>5.67</v>
      </c>
      <c r="H206" s="32"/>
      <c r="I206" s="32"/>
      <c r="J206" s="32"/>
      <c r="K206" s="32"/>
      <c r="L206" s="32"/>
      <c r="M206" s="32"/>
      <c r="N206" s="32"/>
      <c r="O206" s="32"/>
      <c r="P206" s="32"/>
      <c r="Q206" s="21">
        <f t="shared" si="16"/>
        <v>4.04</v>
      </c>
      <c r="R206" s="3"/>
    </row>
    <row r="207" s="9" customFormat="1" spans="1:18">
      <c r="A207" s="29">
        <v>107024</v>
      </c>
      <c r="B207" s="29">
        <v>107</v>
      </c>
      <c r="C207" s="32"/>
      <c r="D207" s="32"/>
      <c r="E207" s="33"/>
      <c r="F207" s="29">
        <v>24</v>
      </c>
      <c r="G207" s="21">
        <f t="shared" si="15"/>
        <v>6.13</v>
      </c>
      <c r="H207" s="32"/>
      <c r="I207" s="32"/>
      <c r="J207" s="32"/>
      <c r="K207" s="32"/>
      <c r="L207" s="32"/>
      <c r="M207" s="32"/>
      <c r="N207" s="32"/>
      <c r="O207" s="32"/>
      <c r="P207" s="32"/>
      <c r="Q207" s="21">
        <f t="shared" si="16"/>
        <v>4.37</v>
      </c>
      <c r="R207" s="3"/>
    </row>
    <row r="208" s="9" customFormat="1" spans="1:18">
      <c r="A208" s="29">
        <v>107025</v>
      </c>
      <c r="B208" s="29">
        <v>107</v>
      </c>
      <c r="C208" s="32"/>
      <c r="D208" s="32"/>
      <c r="E208" s="33"/>
      <c r="F208" s="29">
        <v>25</v>
      </c>
      <c r="G208" s="21">
        <f t="shared" si="15"/>
        <v>6.63</v>
      </c>
      <c r="H208" s="32"/>
      <c r="I208" s="32"/>
      <c r="J208" s="32"/>
      <c r="K208" s="32"/>
      <c r="L208" s="32"/>
      <c r="M208" s="32"/>
      <c r="N208" s="32"/>
      <c r="O208" s="32"/>
      <c r="P208" s="32"/>
      <c r="Q208" s="21">
        <f t="shared" si="16"/>
        <v>4.72</v>
      </c>
      <c r="R208" s="3"/>
    </row>
    <row r="209" s="9" customFormat="1" spans="1:18">
      <c r="A209" s="29">
        <v>107026</v>
      </c>
      <c r="B209" s="29">
        <v>107</v>
      </c>
      <c r="C209" s="32"/>
      <c r="D209" s="32"/>
      <c r="E209" s="33"/>
      <c r="F209" s="29">
        <v>26</v>
      </c>
      <c r="G209" s="21">
        <f t="shared" si="15"/>
        <v>7.17</v>
      </c>
      <c r="H209" s="32"/>
      <c r="I209" s="32"/>
      <c r="J209" s="32"/>
      <c r="K209" s="32"/>
      <c r="L209" s="32"/>
      <c r="M209" s="32"/>
      <c r="N209" s="32"/>
      <c r="O209" s="32"/>
      <c r="P209" s="32"/>
      <c r="Q209" s="21">
        <f t="shared" si="16"/>
        <v>5.1</v>
      </c>
      <c r="R209" s="3"/>
    </row>
    <row r="210" s="9" customFormat="1" spans="1:18">
      <c r="A210" s="29">
        <v>107027</v>
      </c>
      <c r="B210" s="29">
        <v>107</v>
      </c>
      <c r="C210" s="32"/>
      <c r="D210" s="32"/>
      <c r="E210" s="33"/>
      <c r="F210" s="29">
        <v>27</v>
      </c>
      <c r="G210" s="21">
        <f t="shared" si="15"/>
        <v>7.75</v>
      </c>
      <c r="H210" s="32"/>
      <c r="I210" s="32"/>
      <c r="J210" s="32"/>
      <c r="K210" s="32"/>
      <c r="L210" s="32"/>
      <c r="M210" s="32"/>
      <c r="N210" s="32"/>
      <c r="O210" s="32"/>
      <c r="P210" s="32"/>
      <c r="Q210" s="21">
        <f t="shared" si="16"/>
        <v>5.51</v>
      </c>
      <c r="R210" s="3"/>
    </row>
    <row r="211" s="9" customFormat="1" spans="1:18">
      <c r="A211" s="29">
        <v>107028</v>
      </c>
      <c r="B211" s="29">
        <v>107</v>
      </c>
      <c r="C211" s="32"/>
      <c r="D211" s="32"/>
      <c r="E211" s="33"/>
      <c r="F211" s="29">
        <v>28</v>
      </c>
      <c r="G211" s="21">
        <f t="shared" si="15"/>
        <v>8.37</v>
      </c>
      <c r="H211" s="32"/>
      <c r="I211" s="32"/>
      <c r="J211" s="32"/>
      <c r="K211" s="32"/>
      <c r="L211" s="32"/>
      <c r="M211" s="32"/>
      <c r="N211" s="32"/>
      <c r="O211" s="32"/>
      <c r="P211" s="32"/>
      <c r="Q211" s="21">
        <f t="shared" si="16"/>
        <v>5.96</v>
      </c>
      <c r="R211" s="3"/>
    </row>
    <row r="212" s="9" customFormat="1" spans="1:18">
      <c r="A212" s="29">
        <v>107029</v>
      </c>
      <c r="B212" s="29">
        <v>107</v>
      </c>
      <c r="C212" s="32"/>
      <c r="D212" s="32"/>
      <c r="E212" s="33"/>
      <c r="F212" s="29">
        <v>29</v>
      </c>
      <c r="G212" s="21">
        <f t="shared" si="15"/>
        <v>9.04</v>
      </c>
      <c r="H212" s="32"/>
      <c r="I212" s="32"/>
      <c r="J212" s="32"/>
      <c r="K212" s="32"/>
      <c r="L212" s="32"/>
      <c r="M212" s="32"/>
      <c r="N212" s="32"/>
      <c r="O212" s="32"/>
      <c r="P212" s="32"/>
      <c r="Q212" s="21">
        <f t="shared" si="16"/>
        <v>6.44</v>
      </c>
      <c r="R212" s="3"/>
    </row>
    <row r="213" s="9" customFormat="1" spans="1:18">
      <c r="A213" s="29">
        <v>107030</v>
      </c>
      <c r="B213" s="29">
        <v>107</v>
      </c>
      <c r="C213" s="32"/>
      <c r="D213" s="32"/>
      <c r="E213" s="33"/>
      <c r="F213" s="29">
        <v>30</v>
      </c>
      <c r="G213" s="21">
        <f t="shared" si="15"/>
        <v>9.77</v>
      </c>
      <c r="H213" s="32"/>
      <c r="I213" s="32"/>
      <c r="J213" s="32"/>
      <c r="K213" s="32"/>
      <c r="L213" s="32"/>
      <c r="M213" s="32"/>
      <c r="N213" s="32"/>
      <c r="O213" s="32"/>
      <c r="P213" s="32"/>
      <c r="Q213" s="21">
        <f t="shared" si="16"/>
        <v>6.96</v>
      </c>
      <c r="R213" s="3"/>
    </row>
    <row r="214" s="9" customFormat="1" spans="1:18">
      <c r="A214" s="32">
        <v>108001</v>
      </c>
      <c r="B214" s="32">
        <v>108</v>
      </c>
      <c r="C214" s="32" t="s">
        <v>56</v>
      </c>
      <c r="D214" s="32" t="s">
        <v>57</v>
      </c>
      <c r="E214" s="33" t="s">
        <v>58</v>
      </c>
      <c r="F214" s="32">
        <v>1</v>
      </c>
      <c r="G214" s="21">
        <v>0.6</v>
      </c>
      <c r="H214" s="32">
        <v>4</v>
      </c>
      <c r="I214" s="32">
        <v>8</v>
      </c>
      <c r="J214" s="32">
        <v>650</v>
      </c>
      <c r="K214" s="32">
        <v>-1</v>
      </c>
      <c r="L214" s="32"/>
      <c r="M214" s="32"/>
      <c r="N214" s="32"/>
      <c r="O214" s="32">
        <v>80</v>
      </c>
      <c r="P214" s="32"/>
      <c r="Q214" s="32">
        <v>0</v>
      </c>
      <c r="R214" s="3"/>
    </row>
    <row r="215" s="9" customFormat="1" spans="1:18">
      <c r="A215" s="32">
        <v>108002</v>
      </c>
      <c r="B215" s="32">
        <v>108</v>
      </c>
      <c r="C215" s="32"/>
      <c r="D215" s="32"/>
      <c r="E215" s="33"/>
      <c r="F215" s="32">
        <v>2</v>
      </c>
      <c r="G215" s="21">
        <f>ROUNDUP(G214*1.08,2)</f>
        <v>0.65</v>
      </c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"/>
    </row>
    <row r="216" s="9" customFormat="1" spans="1:18">
      <c r="A216" s="32">
        <v>108003</v>
      </c>
      <c r="B216" s="32">
        <v>108</v>
      </c>
      <c r="C216" s="32"/>
      <c r="D216" s="32"/>
      <c r="E216" s="33"/>
      <c r="F216" s="32">
        <v>3</v>
      </c>
      <c r="G216" s="21">
        <f t="shared" ref="G216:G233" si="17">ROUNDUP(G215*1.08,2)</f>
        <v>0.71</v>
      </c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"/>
    </row>
    <row r="217" s="9" customFormat="1" spans="1:18">
      <c r="A217" s="32">
        <v>108004</v>
      </c>
      <c r="B217" s="32">
        <v>108</v>
      </c>
      <c r="C217" s="32"/>
      <c r="D217" s="32"/>
      <c r="E217" s="33"/>
      <c r="F217" s="32">
        <v>4</v>
      </c>
      <c r="G217" s="21">
        <f t="shared" si="17"/>
        <v>0.77</v>
      </c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"/>
    </row>
    <row r="218" s="9" customFormat="1" spans="1:18">
      <c r="A218" s="32">
        <v>108005</v>
      </c>
      <c r="B218" s="32">
        <v>108</v>
      </c>
      <c r="C218" s="32"/>
      <c r="D218" s="32"/>
      <c r="E218" s="33"/>
      <c r="F218" s="32">
        <v>5</v>
      </c>
      <c r="G218" s="21">
        <f t="shared" si="17"/>
        <v>0.84</v>
      </c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"/>
    </row>
    <row r="219" s="9" customFormat="1" spans="1:18">
      <c r="A219" s="32">
        <v>108006</v>
      </c>
      <c r="B219" s="32">
        <v>108</v>
      </c>
      <c r="C219" s="32"/>
      <c r="D219" s="32"/>
      <c r="E219" s="33"/>
      <c r="F219" s="32">
        <v>6</v>
      </c>
      <c r="G219" s="21">
        <f t="shared" si="17"/>
        <v>0.91</v>
      </c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"/>
    </row>
    <row r="220" s="9" customFormat="1" spans="1:18">
      <c r="A220" s="32">
        <v>108007</v>
      </c>
      <c r="B220" s="32">
        <v>108</v>
      </c>
      <c r="C220" s="32"/>
      <c r="D220" s="32"/>
      <c r="E220" s="33"/>
      <c r="F220" s="32">
        <v>7</v>
      </c>
      <c r="G220" s="21">
        <f t="shared" si="17"/>
        <v>0.99</v>
      </c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"/>
    </row>
    <row r="221" s="9" customFormat="1" spans="1:18">
      <c r="A221" s="32">
        <v>108008</v>
      </c>
      <c r="B221" s="32">
        <v>108</v>
      </c>
      <c r="C221" s="32"/>
      <c r="D221" s="32"/>
      <c r="E221" s="33"/>
      <c r="F221" s="32">
        <v>8</v>
      </c>
      <c r="G221" s="21">
        <f t="shared" si="17"/>
        <v>1.07</v>
      </c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"/>
    </row>
    <row r="222" s="9" customFormat="1" spans="1:18">
      <c r="A222" s="32">
        <v>108009</v>
      </c>
      <c r="B222" s="32">
        <v>108</v>
      </c>
      <c r="C222" s="32"/>
      <c r="D222" s="32"/>
      <c r="E222" s="33"/>
      <c r="F222" s="32">
        <v>9</v>
      </c>
      <c r="G222" s="21">
        <f t="shared" si="17"/>
        <v>1.16</v>
      </c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"/>
    </row>
    <row r="223" s="9" customFormat="1" spans="1:18">
      <c r="A223" s="32">
        <v>108010</v>
      </c>
      <c r="B223" s="32">
        <v>108</v>
      </c>
      <c r="C223" s="32"/>
      <c r="D223" s="32"/>
      <c r="E223" s="33"/>
      <c r="F223" s="32">
        <v>10</v>
      </c>
      <c r="G223" s="21">
        <f t="shared" si="17"/>
        <v>1.26</v>
      </c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"/>
    </row>
    <row r="224" s="9" customFormat="1" spans="1:18">
      <c r="A224" s="32">
        <v>108011</v>
      </c>
      <c r="B224" s="32">
        <v>108</v>
      </c>
      <c r="C224" s="32"/>
      <c r="D224" s="32"/>
      <c r="E224" s="33"/>
      <c r="F224" s="32">
        <v>11</v>
      </c>
      <c r="G224" s="21">
        <f t="shared" si="17"/>
        <v>1.37</v>
      </c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"/>
    </row>
    <row r="225" s="9" customFormat="1" spans="1:18">
      <c r="A225" s="32">
        <v>108012</v>
      </c>
      <c r="B225" s="32">
        <v>108</v>
      </c>
      <c r="C225" s="32"/>
      <c r="D225" s="32"/>
      <c r="E225" s="33"/>
      <c r="F225" s="32">
        <v>12</v>
      </c>
      <c r="G225" s="21">
        <f t="shared" si="17"/>
        <v>1.48</v>
      </c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"/>
    </row>
    <row r="226" s="9" customFormat="1" spans="1:18">
      <c r="A226" s="32">
        <v>108013</v>
      </c>
      <c r="B226" s="32">
        <v>108</v>
      </c>
      <c r="C226" s="32"/>
      <c r="D226" s="32"/>
      <c r="E226" s="33"/>
      <c r="F226" s="32">
        <v>13</v>
      </c>
      <c r="G226" s="21">
        <f t="shared" si="17"/>
        <v>1.6</v>
      </c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"/>
    </row>
    <row r="227" s="9" customFormat="1" spans="1:18">
      <c r="A227" s="32">
        <v>108014</v>
      </c>
      <c r="B227" s="32">
        <v>108</v>
      </c>
      <c r="C227" s="32"/>
      <c r="D227" s="32"/>
      <c r="E227" s="33"/>
      <c r="F227" s="32">
        <v>14</v>
      </c>
      <c r="G227" s="21">
        <f t="shared" si="17"/>
        <v>1.73</v>
      </c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"/>
    </row>
    <row r="228" s="9" customFormat="1" spans="1:18">
      <c r="A228" s="32">
        <v>108015</v>
      </c>
      <c r="B228" s="32">
        <v>108</v>
      </c>
      <c r="C228" s="32"/>
      <c r="D228" s="32"/>
      <c r="E228" s="33"/>
      <c r="F228" s="32">
        <v>15</v>
      </c>
      <c r="G228" s="21">
        <f t="shared" si="17"/>
        <v>1.87</v>
      </c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"/>
    </row>
    <row r="229" s="9" customFormat="1" spans="1:18">
      <c r="A229" s="32">
        <v>108016</v>
      </c>
      <c r="B229" s="32">
        <v>108</v>
      </c>
      <c r="C229" s="32"/>
      <c r="D229" s="32"/>
      <c r="E229" s="33"/>
      <c r="F229" s="32">
        <v>16</v>
      </c>
      <c r="G229" s="21">
        <f t="shared" si="17"/>
        <v>2.02</v>
      </c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"/>
    </row>
    <row r="230" s="9" customFormat="1" spans="1:18">
      <c r="A230" s="32">
        <v>108017</v>
      </c>
      <c r="B230" s="32">
        <v>108</v>
      </c>
      <c r="C230" s="32"/>
      <c r="D230" s="32"/>
      <c r="E230" s="33"/>
      <c r="F230" s="32">
        <v>17</v>
      </c>
      <c r="G230" s="21">
        <f t="shared" si="17"/>
        <v>2.19</v>
      </c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"/>
    </row>
    <row r="231" s="9" customFormat="1" spans="1:18">
      <c r="A231" s="32">
        <v>108018</v>
      </c>
      <c r="B231" s="32">
        <v>108</v>
      </c>
      <c r="C231" s="32"/>
      <c r="D231" s="32"/>
      <c r="E231" s="33"/>
      <c r="F231" s="32">
        <v>18</v>
      </c>
      <c r="G231" s="21">
        <f t="shared" si="17"/>
        <v>2.37</v>
      </c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"/>
    </row>
    <row r="232" s="9" customFormat="1" spans="1:18">
      <c r="A232" s="32">
        <v>108019</v>
      </c>
      <c r="B232" s="32">
        <v>108</v>
      </c>
      <c r="C232" s="32"/>
      <c r="D232" s="32"/>
      <c r="E232" s="33"/>
      <c r="F232" s="32">
        <v>19</v>
      </c>
      <c r="G232" s="21">
        <f t="shared" si="17"/>
        <v>2.56</v>
      </c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"/>
    </row>
    <row r="233" s="9" customFormat="1" spans="1:18">
      <c r="A233" s="32">
        <v>108020</v>
      </c>
      <c r="B233" s="32">
        <v>108</v>
      </c>
      <c r="C233" s="32"/>
      <c r="D233" s="32"/>
      <c r="E233" s="33"/>
      <c r="F233" s="32">
        <v>20</v>
      </c>
      <c r="G233" s="21">
        <f t="shared" si="17"/>
        <v>2.77</v>
      </c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"/>
    </row>
    <row r="234" s="10" customFormat="1" spans="1:18">
      <c r="A234" s="32">
        <v>108021</v>
      </c>
      <c r="B234" s="32">
        <v>108</v>
      </c>
      <c r="C234" s="34"/>
      <c r="D234" s="34"/>
      <c r="E234" s="35"/>
      <c r="F234" s="32">
        <v>21</v>
      </c>
      <c r="G234" s="21">
        <f t="shared" ref="G234:G243" si="18">ROUNDUP(G233*1.08,2)</f>
        <v>3</v>
      </c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"/>
    </row>
    <row r="235" s="10" customFormat="1" spans="1:18">
      <c r="A235" s="32">
        <v>108022</v>
      </c>
      <c r="B235" s="32">
        <v>108</v>
      </c>
      <c r="C235" s="34"/>
      <c r="D235" s="34"/>
      <c r="E235" s="35"/>
      <c r="F235" s="32">
        <v>22</v>
      </c>
      <c r="G235" s="21">
        <f t="shared" si="18"/>
        <v>3.24</v>
      </c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"/>
    </row>
    <row r="236" s="10" customFormat="1" spans="1:18">
      <c r="A236" s="32">
        <v>108023</v>
      </c>
      <c r="B236" s="32">
        <v>108</v>
      </c>
      <c r="C236" s="34"/>
      <c r="D236" s="34"/>
      <c r="E236" s="35"/>
      <c r="F236" s="32">
        <v>23</v>
      </c>
      <c r="G236" s="21">
        <f t="shared" si="18"/>
        <v>3.5</v>
      </c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"/>
    </row>
    <row r="237" s="10" customFormat="1" spans="1:18">
      <c r="A237" s="32">
        <v>108024</v>
      </c>
      <c r="B237" s="32">
        <v>108</v>
      </c>
      <c r="C237" s="34"/>
      <c r="D237" s="34"/>
      <c r="E237" s="35"/>
      <c r="F237" s="32">
        <v>24</v>
      </c>
      <c r="G237" s="21">
        <f t="shared" si="18"/>
        <v>3.78</v>
      </c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"/>
    </row>
    <row r="238" s="10" customFormat="1" spans="1:18">
      <c r="A238" s="32">
        <v>108025</v>
      </c>
      <c r="B238" s="32">
        <v>108</v>
      </c>
      <c r="C238" s="34"/>
      <c r="D238" s="34"/>
      <c r="E238" s="35"/>
      <c r="F238" s="32">
        <v>25</v>
      </c>
      <c r="G238" s="21">
        <f t="shared" si="18"/>
        <v>4.09</v>
      </c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"/>
    </row>
    <row r="239" s="10" customFormat="1" spans="1:18">
      <c r="A239" s="32">
        <v>108026</v>
      </c>
      <c r="B239" s="32">
        <v>108</v>
      </c>
      <c r="C239" s="34"/>
      <c r="D239" s="34"/>
      <c r="E239" s="35"/>
      <c r="F239" s="32">
        <v>26</v>
      </c>
      <c r="G239" s="21">
        <f t="shared" si="18"/>
        <v>4.42</v>
      </c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"/>
    </row>
    <row r="240" s="10" customFormat="1" spans="1:18">
      <c r="A240" s="32">
        <v>108027</v>
      </c>
      <c r="B240" s="32">
        <v>108</v>
      </c>
      <c r="C240" s="34"/>
      <c r="D240" s="34"/>
      <c r="E240" s="35"/>
      <c r="F240" s="32">
        <v>27</v>
      </c>
      <c r="G240" s="21">
        <f t="shared" si="18"/>
        <v>4.78</v>
      </c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"/>
    </row>
    <row r="241" s="10" customFormat="1" spans="1:18">
      <c r="A241" s="32">
        <v>108028</v>
      </c>
      <c r="B241" s="32">
        <v>108</v>
      </c>
      <c r="C241" s="34"/>
      <c r="D241" s="34"/>
      <c r="E241" s="35"/>
      <c r="F241" s="32">
        <v>28</v>
      </c>
      <c r="G241" s="21">
        <f t="shared" si="18"/>
        <v>5.17</v>
      </c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"/>
    </row>
    <row r="242" s="10" customFormat="1" spans="1:18">
      <c r="A242" s="32">
        <v>108029</v>
      </c>
      <c r="B242" s="32">
        <v>108</v>
      </c>
      <c r="C242" s="34"/>
      <c r="D242" s="34"/>
      <c r="E242" s="35"/>
      <c r="F242" s="32">
        <v>29</v>
      </c>
      <c r="G242" s="21">
        <f t="shared" si="18"/>
        <v>5.59</v>
      </c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"/>
    </row>
    <row r="243" s="10" customFormat="1" spans="1:18">
      <c r="A243" s="32">
        <v>108030</v>
      </c>
      <c r="B243" s="32">
        <v>108</v>
      </c>
      <c r="C243" s="34"/>
      <c r="D243" s="34"/>
      <c r="E243" s="35"/>
      <c r="F243" s="32">
        <v>30</v>
      </c>
      <c r="G243" s="21">
        <f t="shared" si="18"/>
        <v>6.04</v>
      </c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"/>
    </row>
    <row r="244" s="10" customFormat="1" ht="24" spans="1:18">
      <c r="A244" s="34">
        <v>109001</v>
      </c>
      <c r="B244" s="34">
        <v>109</v>
      </c>
      <c r="C244" s="34" t="s">
        <v>59</v>
      </c>
      <c r="D244" s="34" t="s">
        <v>60</v>
      </c>
      <c r="E244" s="35" t="s">
        <v>61</v>
      </c>
      <c r="F244" s="34">
        <v>1</v>
      </c>
      <c r="G244" s="21">
        <v>1</v>
      </c>
      <c r="H244" s="34">
        <v>5</v>
      </c>
      <c r="I244" s="34">
        <v>5</v>
      </c>
      <c r="J244" s="34">
        <v>800</v>
      </c>
      <c r="K244" s="34">
        <v>1</v>
      </c>
      <c r="L244" s="34"/>
      <c r="M244" s="34"/>
      <c r="N244" s="34"/>
      <c r="O244" s="34"/>
      <c r="P244" s="34"/>
      <c r="Q244" s="34">
        <v>0.7</v>
      </c>
      <c r="R244" s="3"/>
    </row>
    <row r="245" s="10" customFormat="1" spans="1:18">
      <c r="A245" s="34">
        <v>109002</v>
      </c>
      <c r="B245" s="34">
        <v>109</v>
      </c>
      <c r="C245" s="34"/>
      <c r="D245" s="34"/>
      <c r="E245" s="35"/>
      <c r="F245" s="34">
        <v>2</v>
      </c>
      <c r="G245" s="21">
        <f>ROUNDUP(G244*1.08,2)</f>
        <v>1.08</v>
      </c>
      <c r="H245" s="34"/>
      <c r="I245" s="34"/>
      <c r="J245" s="34"/>
      <c r="K245" s="34"/>
      <c r="L245" s="34"/>
      <c r="M245" s="34"/>
      <c r="N245" s="34"/>
      <c r="O245" s="34"/>
      <c r="P245" s="34"/>
      <c r="Q245" s="21">
        <f>ROUNDUP(Q244*1.08,2)</f>
        <v>0.76</v>
      </c>
      <c r="R245" s="3"/>
    </row>
    <row r="246" s="10" customFormat="1" spans="1:18">
      <c r="A246" s="34">
        <v>109003</v>
      </c>
      <c r="B246" s="34">
        <v>109</v>
      </c>
      <c r="C246" s="34"/>
      <c r="D246" s="34"/>
      <c r="E246" s="35"/>
      <c r="F246" s="34">
        <v>3</v>
      </c>
      <c r="G246" s="21">
        <f t="shared" ref="G246:G263" si="19">ROUNDUP(G245*1.08,2)</f>
        <v>1.17</v>
      </c>
      <c r="H246" s="34"/>
      <c r="I246" s="34"/>
      <c r="J246" s="34"/>
      <c r="K246" s="34"/>
      <c r="L246" s="34"/>
      <c r="M246" s="34"/>
      <c r="N246" s="34"/>
      <c r="O246" s="34"/>
      <c r="P246" s="34"/>
      <c r="Q246" s="21">
        <f t="shared" ref="Q246:Q263" si="20">ROUNDUP(Q245*1.08,2)</f>
        <v>0.83</v>
      </c>
      <c r="R246" s="3"/>
    </row>
    <row r="247" s="10" customFormat="1" spans="1:18">
      <c r="A247" s="34">
        <v>109004</v>
      </c>
      <c r="B247" s="34">
        <v>109</v>
      </c>
      <c r="C247" s="34"/>
      <c r="D247" s="34"/>
      <c r="E247" s="35"/>
      <c r="F247" s="34">
        <v>4</v>
      </c>
      <c r="G247" s="21">
        <f t="shared" si="19"/>
        <v>1.27</v>
      </c>
      <c r="H247" s="34"/>
      <c r="I247" s="34"/>
      <c r="J247" s="34"/>
      <c r="K247" s="34"/>
      <c r="L247" s="34"/>
      <c r="M247" s="34"/>
      <c r="N247" s="34"/>
      <c r="O247" s="34"/>
      <c r="P247" s="34"/>
      <c r="Q247" s="21">
        <f t="shared" si="20"/>
        <v>0.9</v>
      </c>
      <c r="R247" s="3"/>
    </row>
    <row r="248" s="10" customFormat="1" spans="1:18">
      <c r="A248" s="34">
        <v>109005</v>
      </c>
      <c r="B248" s="34">
        <v>109</v>
      </c>
      <c r="C248" s="34"/>
      <c r="D248" s="34"/>
      <c r="E248" s="35"/>
      <c r="F248" s="34">
        <v>5</v>
      </c>
      <c r="G248" s="21">
        <f t="shared" si="19"/>
        <v>1.38</v>
      </c>
      <c r="H248" s="34"/>
      <c r="I248" s="34"/>
      <c r="J248" s="34"/>
      <c r="K248" s="34"/>
      <c r="L248" s="34"/>
      <c r="M248" s="34"/>
      <c r="N248" s="34"/>
      <c r="O248" s="34"/>
      <c r="P248" s="34"/>
      <c r="Q248" s="21">
        <f t="shared" si="20"/>
        <v>0.98</v>
      </c>
      <c r="R248" s="3"/>
    </row>
    <row r="249" s="10" customFormat="1" spans="1:18">
      <c r="A249" s="34">
        <v>109006</v>
      </c>
      <c r="B249" s="34">
        <v>109</v>
      </c>
      <c r="C249" s="34"/>
      <c r="D249" s="34"/>
      <c r="E249" s="35"/>
      <c r="F249" s="34">
        <v>6</v>
      </c>
      <c r="G249" s="21">
        <f t="shared" si="19"/>
        <v>1.5</v>
      </c>
      <c r="H249" s="34"/>
      <c r="I249" s="34"/>
      <c r="J249" s="34"/>
      <c r="K249" s="34"/>
      <c r="L249" s="34"/>
      <c r="M249" s="34"/>
      <c r="N249" s="34"/>
      <c r="O249" s="34"/>
      <c r="P249" s="34"/>
      <c r="Q249" s="21">
        <f t="shared" si="20"/>
        <v>1.06</v>
      </c>
      <c r="R249" s="3"/>
    </row>
    <row r="250" s="10" customFormat="1" spans="1:18">
      <c r="A250" s="34">
        <v>109007</v>
      </c>
      <c r="B250" s="34">
        <v>109</v>
      </c>
      <c r="C250" s="34"/>
      <c r="D250" s="34"/>
      <c r="E250" s="35"/>
      <c r="F250" s="34">
        <v>7</v>
      </c>
      <c r="G250" s="21">
        <f t="shared" si="19"/>
        <v>1.62</v>
      </c>
      <c r="H250" s="34"/>
      <c r="I250" s="34"/>
      <c r="J250" s="34"/>
      <c r="K250" s="34"/>
      <c r="L250" s="34"/>
      <c r="M250" s="34"/>
      <c r="N250" s="34"/>
      <c r="O250" s="34"/>
      <c r="P250" s="34"/>
      <c r="Q250" s="21">
        <f t="shared" si="20"/>
        <v>1.15</v>
      </c>
      <c r="R250" s="3"/>
    </row>
    <row r="251" s="10" customFormat="1" spans="1:18">
      <c r="A251" s="34">
        <v>109008</v>
      </c>
      <c r="B251" s="34">
        <v>109</v>
      </c>
      <c r="C251" s="34"/>
      <c r="D251" s="34"/>
      <c r="E251" s="35"/>
      <c r="F251" s="34">
        <v>8</v>
      </c>
      <c r="G251" s="21">
        <f t="shared" si="19"/>
        <v>1.75</v>
      </c>
      <c r="H251" s="34"/>
      <c r="I251" s="34"/>
      <c r="J251" s="34"/>
      <c r="K251" s="34"/>
      <c r="L251" s="34"/>
      <c r="M251" s="34"/>
      <c r="N251" s="34"/>
      <c r="O251" s="34"/>
      <c r="P251" s="34"/>
      <c r="Q251" s="21">
        <f t="shared" si="20"/>
        <v>1.25</v>
      </c>
      <c r="R251" s="3"/>
    </row>
    <row r="252" s="10" customFormat="1" spans="1:18">
      <c r="A252" s="34">
        <v>109009</v>
      </c>
      <c r="B252" s="34">
        <v>109</v>
      </c>
      <c r="C252" s="34"/>
      <c r="D252" s="34"/>
      <c r="E252" s="35"/>
      <c r="F252" s="34">
        <v>9</v>
      </c>
      <c r="G252" s="21">
        <f t="shared" si="19"/>
        <v>1.89</v>
      </c>
      <c r="H252" s="34"/>
      <c r="I252" s="34"/>
      <c r="J252" s="34"/>
      <c r="K252" s="34"/>
      <c r="L252" s="34"/>
      <c r="M252" s="34"/>
      <c r="N252" s="34"/>
      <c r="O252" s="34"/>
      <c r="P252" s="34"/>
      <c r="Q252" s="21">
        <f t="shared" si="20"/>
        <v>1.35</v>
      </c>
      <c r="R252" s="3"/>
    </row>
    <row r="253" s="10" customFormat="1" spans="1:18">
      <c r="A253" s="34">
        <v>109010</v>
      </c>
      <c r="B253" s="34">
        <v>109</v>
      </c>
      <c r="C253" s="34"/>
      <c r="D253" s="34"/>
      <c r="E253" s="35"/>
      <c r="F253" s="34">
        <v>10</v>
      </c>
      <c r="G253" s="21">
        <f t="shared" si="19"/>
        <v>2.05</v>
      </c>
      <c r="H253" s="34"/>
      <c r="I253" s="34"/>
      <c r="J253" s="34"/>
      <c r="K253" s="34"/>
      <c r="L253" s="34"/>
      <c r="M253" s="34"/>
      <c r="N253" s="34"/>
      <c r="O253" s="34"/>
      <c r="P253" s="34"/>
      <c r="Q253" s="21">
        <f t="shared" si="20"/>
        <v>1.46</v>
      </c>
      <c r="R253" s="3"/>
    </row>
    <row r="254" s="10" customFormat="1" spans="1:18">
      <c r="A254" s="34">
        <v>109011</v>
      </c>
      <c r="B254" s="34">
        <v>109</v>
      </c>
      <c r="C254" s="34"/>
      <c r="D254" s="34"/>
      <c r="E254" s="35"/>
      <c r="F254" s="34">
        <v>11</v>
      </c>
      <c r="G254" s="21">
        <f t="shared" si="19"/>
        <v>2.22</v>
      </c>
      <c r="H254" s="34"/>
      <c r="I254" s="34"/>
      <c r="J254" s="34"/>
      <c r="K254" s="34"/>
      <c r="L254" s="34"/>
      <c r="M254" s="34"/>
      <c r="N254" s="34"/>
      <c r="O254" s="34"/>
      <c r="P254" s="34"/>
      <c r="Q254" s="21">
        <f t="shared" si="20"/>
        <v>1.58</v>
      </c>
      <c r="R254" s="3"/>
    </row>
    <row r="255" s="10" customFormat="1" spans="1:18">
      <c r="A255" s="34">
        <v>109012</v>
      </c>
      <c r="B255" s="34">
        <v>109</v>
      </c>
      <c r="C255" s="34"/>
      <c r="D255" s="34"/>
      <c r="E255" s="35"/>
      <c r="F255" s="34">
        <v>12</v>
      </c>
      <c r="G255" s="21">
        <f t="shared" si="19"/>
        <v>2.4</v>
      </c>
      <c r="H255" s="34"/>
      <c r="I255" s="34"/>
      <c r="J255" s="34"/>
      <c r="K255" s="34"/>
      <c r="L255" s="34"/>
      <c r="M255" s="34"/>
      <c r="N255" s="34"/>
      <c r="O255" s="34"/>
      <c r="P255" s="34"/>
      <c r="Q255" s="21">
        <f t="shared" si="20"/>
        <v>1.71</v>
      </c>
      <c r="R255" s="3"/>
    </row>
    <row r="256" s="10" customFormat="1" spans="1:18">
      <c r="A256" s="34">
        <v>109013</v>
      </c>
      <c r="B256" s="34">
        <v>109</v>
      </c>
      <c r="C256" s="34"/>
      <c r="D256" s="34"/>
      <c r="E256" s="35"/>
      <c r="F256" s="34">
        <v>13</v>
      </c>
      <c r="G256" s="21">
        <f t="shared" si="19"/>
        <v>2.6</v>
      </c>
      <c r="H256" s="34"/>
      <c r="I256" s="34"/>
      <c r="J256" s="34"/>
      <c r="K256" s="34"/>
      <c r="L256" s="34"/>
      <c r="M256" s="34"/>
      <c r="N256" s="34"/>
      <c r="O256" s="34"/>
      <c r="P256" s="34"/>
      <c r="Q256" s="21">
        <f t="shared" si="20"/>
        <v>1.85</v>
      </c>
      <c r="R256" s="3"/>
    </row>
    <row r="257" s="10" customFormat="1" spans="1:18">
      <c r="A257" s="34">
        <v>109014</v>
      </c>
      <c r="B257" s="34">
        <v>109</v>
      </c>
      <c r="C257" s="34"/>
      <c r="D257" s="34"/>
      <c r="E257" s="35"/>
      <c r="F257" s="34">
        <v>14</v>
      </c>
      <c r="G257" s="21">
        <f t="shared" si="19"/>
        <v>2.81</v>
      </c>
      <c r="H257" s="34"/>
      <c r="I257" s="34"/>
      <c r="J257" s="34"/>
      <c r="K257" s="34"/>
      <c r="L257" s="34"/>
      <c r="M257" s="34"/>
      <c r="N257" s="34"/>
      <c r="O257" s="34"/>
      <c r="P257" s="34"/>
      <c r="Q257" s="21">
        <f t="shared" si="20"/>
        <v>2</v>
      </c>
      <c r="R257" s="3"/>
    </row>
    <row r="258" s="10" customFormat="1" spans="1:18">
      <c r="A258" s="34">
        <v>109015</v>
      </c>
      <c r="B258" s="34">
        <v>109</v>
      </c>
      <c r="C258" s="34"/>
      <c r="D258" s="34"/>
      <c r="E258" s="35"/>
      <c r="F258" s="34">
        <v>15</v>
      </c>
      <c r="G258" s="21">
        <f t="shared" si="19"/>
        <v>3.04</v>
      </c>
      <c r="H258" s="34"/>
      <c r="I258" s="34"/>
      <c r="J258" s="34"/>
      <c r="K258" s="34"/>
      <c r="L258" s="34"/>
      <c r="M258" s="34"/>
      <c r="N258" s="34"/>
      <c r="O258" s="34"/>
      <c r="P258" s="34"/>
      <c r="Q258" s="21">
        <f t="shared" si="20"/>
        <v>2.16</v>
      </c>
      <c r="R258" s="3"/>
    </row>
    <row r="259" s="10" customFormat="1" spans="1:18">
      <c r="A259" s="34">
        <v>109016</v>
      </c>
      <c r="B259" s="34">
        <v>109</v>
      </c>
      <c r="C259" s="34"/>
      <c r="D259" s="34"/>
      <c r="E259" s="35"/>
      <c r="F259" s="34">
        <v>16</v>
      </c>
      <c r="G259" s="21">
        <f t="shared" si="19"/>
        <v>3.29</v>
      </c>
      <c r="H259" s="34"/>
      <c r="I259" s="34"/>
      <c r="J259" s="34"/>
      <c r="K259" s="34"/>
      <c r="L259" s="34"/>
      <c r="M259" s="34"/>
      <c r="N259" s="34"/>
      <c r="O259" s="34"/>
      <c r="P259" s="34"/>
      <c r="Q259" s="21">
        <f t="shared" si="20"/>
        <v>2.34</v>
      </c>
      <c r="R259" s="3"/>
    </row>
    <row r="260" s="10" customFormat="1" spans="1:18">
      <c r="A260" s="34">
        <v>109017</v>
      </c>
      <c r="B260" s="34">
        <v>109</v>
      </c>
      <c r="C260" s="34"/>
      <c r="D260" s="34"/>
      <c r="E260" s="35"/>
      <c r="F260" s="34">
        <v>17</v>
      </c>
      <c r="G260" s="21">
        <f t="shared" si="19"/>
        <v>3.56</v>
      </c>
      <c r="H260" s="34"/>
      <c r="I260" s="34"/>
      <c r="J260" s="34"/>
      <c r="K260" s="34"/>
      <c r="L260" s="34"/>
      <c r="M260" s="34"/>
      <c r="N260" s="34"/>
      <c r="O260" s="34"/>
      <c r="P260" s="34"/>
      <c r="Q260" s="21">
        <f t="shared" si="20"/>
        <v>2.53</v>
      </c>
      <c r="R260" s="3"/>
    </row>
    <row r="261" s="10" customFormat="1" spans="1:18">
      <c r="A261" s="34">
        <v>109018</v>
      </c>
      <c r="B261" s="34">
        <v>109</v>
      </c>
      <c r="C261" s="34"/>
      <c r="D261" s="34"/>
      <c r="E261" s="35"/>
      <c r="F261" s="34">
        <v>18</v>
      </c>
      <c r="G261" s="21">
        <f t="shared" si="19"/>
        <v>3.85</v>
      </c>
      <c r="H261" s="34"/>
      <c r="I261" s="34"/>
      <c r="J261" s="34"/>
      <c r="K261" s="34"/>
      <c r="L261" s="34"/>
      <c r="M261" s="34"/>
      <c r="N261" s="34"/>
      <c r="O261" s="34"/>
      <c r="P261" s="34"/>
      <c r="Q261" s="21">
        <f t="shared" si="20"/>
        <v>2.74</v>
      </c>
      <c r="R261" s="3"/>
    </row>
    <row r="262" s="10" customFormat="1" spans="1:18">
      <c r="A262" s="34">
        <v>109019</v>
      </c>
      <c r="B262" s="34">
        <v>109</v>
      </c>
      <c r="C262" s="34"/>
      <c r="D262" s="34"/>
      <c r="E262" s="35"/>
      <c r="F262" s="34">
        <v>19</v>
      </c>
      <c r="G262" s="21">
        <f t="shared" si="19"/>
        <v>4.16</v>
      </c>
      <c r="H262" s="34"/>
      <c r="I262" s="34"/>
      <c r="J262" s="34"/>
      <c r="K262" s="34"/>
      <c r="L262" s="34"/>
      <c r="M262" s="34"/>
      <c r="N262" s="34"/>
      <c r="O262" s="34"/>
      <c r="P262" s="34"/>
      <c r="Q262" s="21">
        <f t="shared" si="20"/>
        <v>2.96</v>
      </c>
      <c r="R262" s="3"/>
    </row>
    <row r="263" s="10" customFormat="1" spans="1:18">
      <c r="A263" s="34">
        <v>109020</v>
      </c>
      <c r="B263" s="34">
        <v>109</v>
      </c>
      <c r="C263" s="34"/>
      <c r="D263" s="34"/>
      <c r="E263" s="35"/>
      <c r="F263" s="34">
        <v>20</v>
      </c>
      <c r="G263" s="21">
        <f t="shared" si="19"/>
        <v>4.5</v>
      </c>
      <c r="H263" s="34"/>
      <c r="I263" s="34"/>
      <c r="J263" s="34"/>
      <c r="K263" s="34"/>
      <c r="L263" s="34"/>
      <c r="M263" s="34"/>
      <c r="N263" s="34"/>
      <c r="O263" s="34"/>
      <c r="P263" s="34"/>
      <c r="Q263" s="21">
        <f t="shared" si="20"/>
        <v>3.2</v>
      </c>
      <c r="R263" s="3"/>
    </row>
    <row r="264" s="11" customFormat="1" spans="1:18">
      <c r="A264" s="34">
        <v>109021</v>
      </c>
      <c r="B264" s="34">
        <v>109</v>
      </c>
      <c r="C264" s="36"/>
      <c r="D264" s="36"/>
      <c r="E264" s="37"/>
      <c r="F264" s="34">
        <v>21</v>
      </c>
      <c r="G264" s="21">
        <f t="shared" ref="G264:G273" si="21">ROUNDUP(G263*1.08,2)</f>
        <v>4.86</v>
      </c>
      <c r="H264" s="36"/>
      <c r="I264" s="36"/>
      <c r="J264" s="36"/>
      <c r="K264" s="36"/>
      <c r="L264" s="36"/>
      <c r="M264" s="36"/>
      <c r="N264" s="36"/>
      <c r="O264" s="36"/>
      <c r="P264" s="36"/>
      <c r="Q264" s="21">
        <f t="shared" ref="Q264:Q273" si="22">ROUNDUP(Q263*1.08,2)</f>
        <v>3.46</v>
      </c>
      <c r="R264" s="3"/>
    </row>
    <row r="265" s="11" customFormat="1" spans="1:18">
      <c r="A265" s="34">
        <v>109022</v>
      </c>
      <c r="B265" s="34">
        <v>109</v>
      </c>
      <c r="C265" s="36"/>
      <c r="D265" s="36"/>
      <c r="E265" s="37"/>
      <c r="F265" s="34">
        <v>22</v>
      </c>
      <c r="G265" s="21">
        <f t="shared" si="21"/>
        <v>5.25</v>
      </c>
      <c r="H265" s="36"/>
      <c r="I265" s="36"/>
      <c r="J265" s="36"/>
      <c r="K265" s="36"/>
      <c r="L265" s="36"/>
      <c r="M265" s="36"/>
      <c r="N265" s="36"/>
      <c r="O265" s="36"/>
      <c r="P265" s="36"/>
      <c r="Q265" s="21">
        <f t="shared" si="22"/>
        <v>3.74</v>
      </c>
      <c r="R265" s="3"/>
    </row>
    <row r="266" s="11" customFormat="1" spans="1:18">
      <c r="A266" s="34">
        <v>109023</v>
      </c>
      <c r="B266" s="34">
        <v>109</v>
      </c>
      <c r="C266" s="36"/>
      <c r="D266" s="36"/>
      <c r="E266" s="37"/>
      <c r="F266" s="34">
        <v>23</v>
      </c>
      <c r="G266" s="21">
        <f t="shared" si="21"/>
        <v>5.67</v>
      </c>
      <c r="H266" s="36"/>
      <c r="I266" s="36"/>
      <c r="J266" s="36"/>
      <c r="K266" s="36"/>
      <c r="L266" s="36"/>
      <c r="M266" s="36"/>
      <c r="N266" s="36"/>
      <c r="O266" s="36"/>
      <c r="P266" s="36"/>
      <c r="Q266" s="21">
        <f t="shared" si="22"/>
        <v>4.04</v>
      </c>
      <c r="R266" s="3"/>
    </row>
    <row r="267" s="11" customFormat="1" spans="1:18">
      <c r="A267" s="34">
        <v>109024</v>
      </c>
      <c r="B267" s="34">
        <v>109</v>
      </c>
      <c r="C267" s="36"/>
      <c r="D267" s="36"/>
      <c r="E267" s="37"/>
      <c r="F267" s="34">
        <v>24</v>
      </c>
      <c r="G267" s="21">
        <f t="shared" si="21"/>
        <v>6.13</v>
      </c>
      <c r="H267" s="36"/>
      <c r="I267" s="36"/>
      <c r="J267" s="36"/>
      <c r="K267" s="36"/>
      <c r="L267" s="36"/>
      <c r="M267" s="36"/>
      <c r="N267" s="36"/>
      <c r="O267" s="36"/>
      <c r="P267" s="36"/>
      <c r="Q267" s="21">
        <f t="shared" si="22"/>
        <v>4.37</v>
      </c>
      <c r="R267" s="3"/>
    </row>
    <row r="268" s="11" customFormat="1" spans="1:18">
      <c r="A268" s="34">
        <v>109025</v>
      </c>
      <c r="B268" s="34">
        <v>109</v>
      </c>
      <c r="C268" s="36"/>
      <c r="D268" s="36"/>
      <c r="E268" s="37"/>
      <c r="F268" s="34">
        <v>25</v>
      </c>
      <c r="G268" s="21">
        <f t="shared" si="21"/>
        <v>6.63</v>
      </c>
      <c r="H268" s="36"/>
      <c r="I268" s="36"/>
      <c r="J268" s="36"/>
      <c r="K268" s="36"/>
      <c r="L268" s="36"/>
      <c r="M268" s="36"/>
      <c r="N268" s="36"/>
      <c r="O268" s="36"/>
      <c r="P268" s="36"/>
      <c r="Q268" s="21">
        <f t="shared" si="22"/>
        <v>4.72</v>
      </c>
      <c r="R268" s="3"/>
    </row>
    <row r="269" s="11" customFormat="1" spans="1:18">
      <c r="A269" s="34">
        <v>109026</v>
      </c>
      <c r="B269" s="34">
        <v>109</v>
      </c>
      <c r="C269" s="36"/>
      <c r="D269" s="36"/>
      <c r="E269" s="37"/>
      <c r="F269" s="34">
        <v>26</v>
      </c>
      <c r="G269" s="21">
        <f t="shared" si="21"/>
        <v>7.17</v>
      </c>
      <c r="H269" s="36"/>
      <c r="I269" s="36"/>
      <c r="J269" s="36"/>
      <c r="K269" s="36"/>
      <c r="L269" s="36"/>
      <c r="M269" s="36"/>
      <c r="N269" s="36"/>
      <c r="O269" s="36"/>
      <c r="P269" s="36"/>
      <c r="Q269" s="21">
        <f t="shared" si="22"/>
        <v>5.1</v>
      </c>
      <c r="R269" s="3"/>
    </row>
    <row r="270" s="11" customFormat="1" spans="1:18">
      <c r="A270" s="34">
        <v>109027</v>
      </c>
      <c r="B270" s="34">
        <v>109</v>
      </c>
      <c r="C270" s="36"/>
      <c r="D270" s="36"/>
      <c r="E270" s="37"/>
      <c r="F270" s="34">
        <v>27</v>
      </c>
      <c r="G270" s="21">
        <f t="shared" si="21"/>
        <v>7.75</v>
      </c>
      <c r="H270" s="36"/>
      <c r="I270" s="36"/>
      <c r="J270" s="36"/>
      <c r="K270" s="36"/>
      <c r="L270" s="36"/>
      <c r="M270" s="36"/>
      <c r="N270" s="36"/>
      <c r="O270" s="36"/>
      <c r="P270" s="36"/>
      <c r="Q270" s="21">
        <f t="shared" si="22"/>
        <v>5.51</v>
      </c>
      <c r="R270" s="3"/>
    </row>
    <row r="271" s="11" customFormat="1" spans="1:18">
      <c r="A271" s="34">
        <v>109028</v>
      </c>
      <c r="B271" s="34">
        <v>109</v>
      </c>
      <c r="C271" s="36"/>
      <c r="D271" s="36"/>
      <c r="E271" s="37"/>
      <c r="F271" s="34">
        <v>28</v>
      </c>
      <c r="G271" s="21">
        <f t="shared" si="21"/>
        <v>8.37</v>
      </c>
      <c r="H271" s="36"/>
      <c r="I271" s="36"/>
      <c r="J271" s="36"/>
      <c r="K271" s="36"/>
      <c r="L271" s="36"/>
      <c r="M271" s="36"/>
      <c r="N271" s="36"/>
      <c r="O271" s="36"/>
      <c r="P271" s="36"/>
      <c r="Q271" s="21">
        <f t="shared" si="22"/>
        <v>5.96</v>
      </c>
      <c r="R271" s="3"/>
    </row>
    <row r="272" s="11" customFormat="1" spans="1:18">
      <c r="A272" s="34">
        <v>109029</v>
      </c>
      <c r="B272" s="34">
        <v>109</v>
      </c>
      <c r="C272" s="36"/>
      <c r="D272" s="36"/>
      <c r="E272" s="37"/>
      <c r="F272" s="34">
        <v>29</v>
      </c>
      <c r="G272" s="21">
        <f t="shared" si="21"/>
        <v>9.04</v>
      </c>
      <c r="H272" s="36"/>
      <c r="I272" s="36"/>
      <c r="J272" s="36"/>
      <c r="K272" s="36"/>
      <c r="L272" s="36"/>
      <c r="M272" s="36"/>
      <c r="N272" s="36"/>
      <c r="O272" s="36"/>
      <c r="P272" s="36"/>
      <c r="Q272" s="21">
        <f t="shared" si="22"/>
        <v>6.44</v>
      </c>
      <c r="R272" s="3"/>
    </row>
    <row r="273" s="11" customFormat="1" spans="1:18">
      <c r="A273" s="34">
        <v>109030</v>
      </c>
      <c r="B273" s="34">
        <v>109</v>
      </c>
      <c r="C273" s="36"/>
      <c r="D273" s="36"/>
      <c r="E273" s="37"/>
      <c r="F273" s="34">
        <v>30</v>
      </c>
      <c r="G273" s="21">
        <f t="shared" si="21"/>
        <v>9.77</v>
      </c>
      <c r="H273" s="36"/>
      <c r="I273" s="36"/>
      <c r="J273" s="36"/>
      <c r="K273" s="36"/>
      <c r="L273" s="36"/>
      <c r="M273" s="36"/>
      <c r="N273" s="36"/>
      <c r="O273" s="36"/>
      <c r="P273" s="36"/>
      <c r="Q273" s="21">
        <f t="shared" si="22"/>
        <v>6.96</v>
      </c>
      <c r="R273" s="3"/>
    </row>
    <row r="274" s="11" customFormat="1" spans="1:18">
      <c r="A274" s="36">
        <v>110001</v>
      </c>
      <c r="B274" s="36">
        <v>110</v>
      </c>
      <c r="C274" s="36" t="s">
        <v>62</v>
      </c>
      <c r="D274" s="36" t="s">
        <v>63</v>
      </c>
      <c r="E274" s="38" t="s">
        <v>64</v>
      </c>
      <c r="F274" s="36">
        <v>1</v>
      </c>
      <c r="G274" s="21"/>
      <c r="H274" s="36">
        <v>5</v>
      </c>
      <c r="I274" s="36">
        <v>9</v>
      </c>
      <c r="J274" s="36">
        <v>800</v>
      </c>
      <c r="K274" s="36"/>
      <c r="L274" s="36"/>
      <c r="M274" s="36">
        <v>12</v>
      </c>
      <c r="N274" s="36"/>
      <c r="O274" s="36"/>
      <c r="P274" s="36">
        <v>100</v>
      </c>
      <c r="Q274" s="36">
        <v>0.35</v>
      </c>
      <c r="R274" s="3"/>
    </row>
    <row r="275" s="11" customFormat="1" spans="1:18">
      <c r="A275" s="36">
        <v>110002</v>
      </c>
      <c r="B275" s="36">
        <v>110</v>
      </c>
      <c r="C275" s="36"/>
      <c r="D275" s="36"/>
      <c r="E275" s="38"/>
      <c r="F275" s="36">
        <v>2</v>
      </c>
      <c r="G275" s="21"/>
      <c r="H275" s="36"/>
      <c r="I275" s="36"/>
      <c r="J275" s="36"/>
      <c r="K275" s="36"/>
      <c r="L275" s="36"/>
      <c r="M275" s="36"/>
      <c r="N275" s="36"/>
      <c r="O275" s="36"/>
      <c r="P275" s="36"/>
      <c r="Q275" s="21">
        <f>ROUNDUP(Q274*1.08,2)</f>
        <v>0.38</v>
      </c>
      <c r="R275" s="3"/>
    </row>
    <row r="276" s="11" customFormat="1" spans="1:18">
      <c r="A276" s="36">
        <v>110003</v>
      </c>
      <c r="B276" s="36">
        <v>110</v>
      </c>
      <c r="C276" s="36"/>
      <c r="D276" s="36"/>
      <c r="E276" s="38"/>
      <c r="F276" s="36">
        <v>3</v>
      </c>
      <c r="G276" s="21"/>
      <c r="H276" s="36"/>
      <c r="I276" s="36"/>
      <c r="J276" s="36"/>
      <c r="K276" s="36"/>
      <c r="L276" s="36"/>
      <c r="M276" s="36"/>
      <c r="N276" s="36"/>
      <c r="O276" s="36"/>
      <c r="P276" s="36"/>
      <c r="Q276" s="21">
        <f t="shared" ref="Q276:Q293" si="23">ROUNDUP(Q275*1.08,2)</f>
        <v>0.42</v>
      </c>
      <c r="R276" s="3"/>
    </row>
    <row r="277" s="11" customFormat="1" spans="1:18">
      <c r="A277" s="36">
        <v>110004</v>
      </c>
      <c r="B277" s="36">
        <v>110</v>
      </c>
      <c r="C277" s="36"/>
      <c r="D277" s="36"/>
      <c r="E277" s="38"/>
      <c r="F277" s="36">
        <v>4</v>
      </c>
      <c r="G277" s="21"/>
      <c r="H277" s="36"/>
      <c r="I277" s="36"/>
      <c r="J277" s="36"/>
      <c r="K277" s="36"/>
      <c r="L277" s="36"/>
      <c r="M277" s="36"/>
      <c r="N277" s="36"/>
      <c r="O277" s="36"/>
      <c r="P277" s="36"/>
      <c r="Q277" s="21">
        <f t="shared" si="23"/>
        <v>0.46</v>
      </c>
      <c r="R277" s="3"/>
    </row>
    <row r="278" s="11" customFormat="1" spans="1:18">
      <c r="A278" s="36">
        <v>110005</v>
      </c>
      <c r="B278" s="36">
        <v>110</v>
      </c>
      <c r="C278" s="36"/>
      <c r="D278" s="36"/>
      <c r="E278" s="38"/>
      <c r="F278" s="36">
        <v>5</v>
      </c>
      <c r="G278" s="21"/>
      <c r="H278" s="36"/>
      <c r="I278" s="36"/>
      <c r="J278" s="36"/>
      <c r="K278" s="36"/>
      <c r="L278" s="36"/>
      <c r="M278" s="36"/>
      <c r="N278" s="36"/>
      <c r="O278" s="36"/>
      <c r="P278" s="36"/>
      <c r="Q278" s="21">
        <f t="shared" si="23"/>
        <v>0.5</v>
      </c>
      <c r="R278" s="3"/>
    </row>
    <row r="279" s="11" customFormat="1" spans="1:18">
      <c r="A279" s="36">
        <v>110006</v>
      </c>
      <c r="B279" s="36">
        <v>110</v>
      </c>
      <c r="C279" s="36"/>
      <c r="D279" s="36"/>
      <c r="E279" s="38"/>
      <c r="F279" s="36">
        <v>6</v>
      </c>
      <c r="G279" s="21"/>
      <c r="H279" s="36"/>
      <c r="I279" s="36"/>
      <c r="J279" s="36"/>
      <c r="K279" s="36"/>
      <c r="L279" s="36"/>
      <c r="M279" s="36"/>
      <c r="N279" s="36"/>
      <c r="O279" s="36"/>
      <c r="P279" s="36"/>
      <c r="Q279" s="21">
        <f t="shared" si="23"/>
        <v>0.54</v>
      </c>
      <c r="R279" s="3"/>
    </row>
    <row r="280" s="11" customFormat="1" spans="1:18">
      <c r="A280" s="36">
        <v>110007</v>
      </c>
      <c r="B280" s="36">
        <v>110</v>
      </c>
      <c r="C280" s="36"/>
      <c r="D280" s="36"/>
      <c r="E280" s="38"/>
      <c r="F280" s="36">
        <v>7</v>
      </c>
      <c r="G280" s="21"/>
      <c r="H280" s="36"/>
      <c r="I280" s="36"/>
      <c r="J280" s="36"/>
      <c r="K280" s="36"/>
      <c r="L280" s="36"/>
      <c r="M280" s="36"/>
      <c r="N280" s="36"/>
      <c r="O280" s="36"/>
      <c r="P280" s="36"/>
      <c r="Q280" s="21">
        <f t="shared" si="23"/>
        <v>0.59</v>
      </c>
      <c r="R280" s="3"/>
    </row>
    <row r="281" s="11" customFormat="1" spans="1:18">
      <c r="A281" s="36">
        <v>110008</v>
      </c>
      <c r="B281" s="36">
        <v>110</v>
      </c>
      <c r="C281" s="36"/>
      <c r="D281" s="36"/>
      <c r="E281" s="38"/>
      <c r="F281" s="36">
        <v>8</v>
      </c>
      <c r="G281" s="21"/>
      <c r="H281" s="36"/>
      <c r="I281" s="36"/>
      <c r="J281" s="36"/>
      <c r="K281" s="36"/>
      <c r="L281" s="36"/>
      <c r="M281" s="36"/>
      <c r="N281" s="36"/>
      <c r="O281" s="36"/>
      <c r="P281" s="36"/>
      <c r="Q281" s="21">
        <f t="shared" si="23"/>
        <v>0.64</v>
      </c>
      <c r="R281" s="3"/>
    </row>
    <row r="282" s="11" customFormat="1" spans="1:18">
      <c r="A282" s="36">
        <v>110009</v>
      </c>
      <c r="B282" s="36">
        <v>110</v>
      </c>
      <c r="C282" s="36"/>
      <c r="D282" s="36"/>
      <c r="E282" s="38"/>
      <c r="F282" s="36">
        <v>9</v>
      </c>
      <c r="G282" s="21"/>
      <c r="H282" s="36"/>
      <c r="I282" s="36"/>
      <c r="J282" s="36"/>
      <c r="K282" s="36"/>
      <c r="L282" s="36"/>
      <c r="M282" s="36"/>
      <c r="N282" s="36"/>
      <c r="O282" s="36"/>
      <c r="P282" s="36"/>
      <c r="Q282" s="21">
        <f t="shared" si="23"/>
        <v>0.7</v>
      </c>
      <c r="R282" s="3"/>
    </row>
    <row r="283" s="11" customFormat="1" spans="1:18">
      <c r="A283" s="36">
        <v>110010</v>
      </c>
      <c r="B283" s="36">
        <v>110</v>
      </c>
      <c r="C283" s="36"/>
      <c r="D283" s="36"/>
      <c r="E283" s="38"/>
      <c r="F283" s="36">
        <v>10</v>
      </c>
      <c r="G283" s="21"/>
      <c r="H283" s="36"/>
      <c r="I283" s="36"/>
      <c r="J283" s="36"/>
      <c r="K283" s="36"/>
      <c r="L283" s="36"/>
      <c r="M283" s="36"/>
      <c r="N283" s="36"/>
      <c r="O283" s="36"/>
      <c r="P283" s="36"/>
      <c r="Q283" s="21">
        <f t="shared" si="23"/>
        <v>0.76</v>
      </c>
      <c r="R283" s="3"/>
    </row>
    <row r="284" s="11" customFormat="1" spans="1:18">
      <c r="A284" s="36">
        <v>110011</v>
      </c>
      <c r="B284" s="36">
        <v>110</v>
      </c>
      <c r="C284" s="36"/>
      <c r="D284" s="36"/>
      <c r="E284" s="38"/>
      <c r="F284" s="36">
        <v>11</v>
      </c>
      <c r="G284" s="21"/>
      <c r="H284" s="36"/>
      <c r="I284" s="36"/>
      <c r="J284" s="36"/>
      <c r="K284" s="36"/>
      <c r="L284" s="36"/>
      <c r="M284" s="36"/>
      <c r="N284" s="36"/>
      <c r="O284" s="36"/>
      <c r="P284" s="36"/>
      <c r="Q284" s="21">
        <f t="shared" si="23"/>
        <v>0.83</v>
      </c>
      <c r="R284" s="3"/>
    </row>
    <row r="285" s="11" customFormat="1" spans="1:18">
      <c r="A285" s="36">
        <v>110012</v>
      </c>
      <c r="B285" s="36">
        <v>110</v>
      </c>
      <c r="C285" s="36"/>
      <c r="D285" s="36"/>
      <c r="E285" s="38"/>
      <c r="F285" s="36">
        <v>12</v>
      </c>
      <c r="G285" s="21"/>
      <c r="H285" s="36"/>
      <c r="I285" s="36"/>
      <c r="J285" s="36"/>
      <c r="K285" s="36"/>
      <c r="L285" s="36"/>
      <c r="M285" s="36"/>
      <c r="N285" s="36"/>
      <c r="O285" s="36"/>
      <c r="P285" s="36"/>
      <c r="Q285" s="21">
        <f t="shared" si="23"/>
        <v>0.9</v>
      </c>
      <c r="R285" s="3"/>
    </row>
    <row r="286" s="11" customFormat="1" spans="1:18">
      <c r="A286" s="36">
        <v>110013</v>
      </c>
      <c r="B286" s="36">
        <v>110</v>
      </c>
      <c r="C286" s="36"/>
      <c r="D286" s="36"/>
      <c r="E286" s="38"/>
      <c r="F286" s="36">
        <v>13</v>
      </c>
      <c r="G286" s="21"/>
      <c r="H286" s="36"/>
      <c r="I286" s="36"/>
      <c r="J286" s="36"/>
      <c r="K286" s="36"/>
      <c r="L286" s="36"/>
      <c r="M286" s="36"/>
      <c r="N286" s="36"/>
      <c r="O286" s="36"/>
      <c r="P286" s="36"/>
      <c r="Q286" s="21">
        <f t="shared" si="23"/>
        <v>0.98</v>
      </c>
      <c r="R286" s="3"/>
    </row>
    <row r="287" s="11" customFormat="1" spans="1:18">
      <c r="A287" s="36">
        <v>110014</v>
      </c>
      <c r="B287" s="36">
        <v>110</v>
      </c>
      <c r="C287" s="36"/>
      <c r="D287" s="36"/>
      <c r="E287" s="38"/>
      <c r="F287" s="36">
        <v>14</v>
      </c>
      <c r="G287" s="21"/>
      <c r="H287" s="36"/>
      <c r="I287" s="36"/>
      <c r="J287" s="36"/>
      <c r="K287" s="36"/>
      <c r="L287" s="36"/>
      <c r="M287" s="36"/>
      <c r="N287" s="36"/>
      <c r="O287" s="36"/>
      <c r="P287" s="36"/>
      <c r="Q287" s="21">
        <f t="shared" si="23"/>
        <v>1.06</v>
      </c>
      <c r="R287" s="3"/>
    </row>
    <row r="288" s="11" customFormat="1" spans="1:18">
      <c r="A288" s="36">
        <v>110015</v>
      </c>
      <c r="B288" s="36">
        <v>110</v>
      </c>
      <c r="C288" s="36"/>
      <c r="D288" s="36"/>
      <c r="E288" s="38"/>
      <c r="F288" s="36">
        <v>15</v>
      </c>
      <c r="G288" s="21"/>
      <c r="H288" s="36"/>
      <c r="I288" s="36"/>
      <c r="J288" s="36"/>
      <c r="K288" s="36"/>
      <c r="L288" s="36"/>
      <c r="M288" s="36"/>
      <c r="N288" s="36"/>
      <c r="O288" s="36"/>
      <c r="P288" s="36"/>
      <c r="Q288" s="21">
        <f t="shared" si="23"/>
        <v>1.15</v>
      </c>
      <c r="R288" s="3"/>
    </row>
    <row r="289" s="11" customFormat="1" spans="1:18">
      <c r="A289" s="36">
        <v>110016</v>
      </c>
      <c r="B289" s="36">
        <v>110</v>
      </c>
      <c r="C289" s="36"/>
      <c r="D289" s="36"/>
      <c r="E289" s="38"/>
      <c r="F289" s="36">
        <v>16</v>
      </c>
      <c r="G289" s="21"/>
      <c r="H289" s="36"/>
      <c r="I289" s="36"/>
      <c r="J289" s="36"/>
      <c r="K289" s="36"/>
      <c r="L289" s="36"/>
      <c r="M289" s="36"/>
      <c r="N289" s="36"/>
      <c r="O289" s="36"/>
      <c r="P289" s="36"/>
      <c r="Q289" s="21">
        <f t="shared" si="23"/>
        <v>1.25</v>
      </c>
      <c r="R289" s="3"/>
    </row>
    <row r="290" s="11" customFormat="1" spans="1:18">
      <c r="A290" s="36">
        <v>110017</v>
      </c>
      <c r="B290" s="36">
        <v>110</v>
      </c>
      <c r="C290" s="36"/>
      <c r="D290" s="36"/>
      <c r="E290" s="38"/>
      <c r="F290" s="36">
        <v>17</v>
      </c>
      <c r="G290" s="21"/>
      <c r="H290" s="36"/>
      <c r="I290" s="36"/>
      <c r="J290" s="36"/>
      <c r="K290" s="36"/>
      <c r="L290" s="36"/>
      <c r="M290" s="36"/>
      <c r="N290" s="36"/>
      <c r="O290" s="36"/>
      <c r="P290" s="36"/>
      <c r="Q290" s="21">
        <f t="shared" si="23"/>
        <v>1.35</v>
      </c>
      <c r="R290" s="3"/>
    </row>
    <row r="291" s="11" customFormat="1" spans="1:18">
      <c r="A291" s="36">
        <v>110018</v>
      </c>
      <c r="B291" s="36">
        <v>110</v>
      </c>
      <c r="C291" s="36"/>
      <c r="D291" s="36"/>
      <c r="E291" s="38"/>
      <c r="F291" s="36">
        <v>18</v>
      </c>
      <c r="G291" s="21"/>
      <c r="H291" s="36"/>
      <c r="I291" s="36"/>
      <c r="J291" s="36"/>
      <c r="K291" s="36"/>
      <c r="L291" s="36"/>
      <c r="M291" s="36"/>
      <c r="N291" s="36"/>
      <c r="O291" s="36"/>
      <c r="P291" s="36"/>
      <c r="Q291" s="21">
        <f t="shared" si="23"/>
        <v>1.46</v>
      </c>
      <c r="R291" s="3"/>
    </row>
    <row r="292" s="11" customFormat="1" spans="1:18">
      <c r="A292" s="36">
        <v>110019</v>
      </c>
      <c r="B292" s="36">
        <v>110</v>
      </c>
      <c r="C292" s="36"/>
      <c r="D292" s="36"/>
      <c r="E292" s="38"/>
      <c r="F292" s="36">
        <v>19</v>
      </c>
      <c r="G292" s="21"/>
      <c r="H292" s="36"/>
      <c r="I292" s="36"/>
      <c r="J292" s="36"/>
      <c r="K292" s="36"/>
      <c r="L292" s="36"/>
      <c r="M292" s="36"/>
      <c r="N292" s="36"/>
      <c r="O292" s="36"/>
      <c r="P292" s="36"/>
      <c r="Q292" s="21">
        <f t="shared" si="23"/>
        <v>1.58</v>
      </c>
      <c r="R292" s="3"/>
    </row>
    <row r="293" s="11" customFormat="1" spans="1:18">
      <c r="A293" s="36">
        <v>110020</v>
      </c>
      <c r="B293" s="36">
        <v>110</v>
      </c>
      <c r="C293" s="36"/>
      <c r="D293" s="36"/>
      <c r="E293" s="38"/>
      <c r="F293" s="36">
        <v>20</v>
      </c>
      <c r="G293" s="21"/>
      <c r="H293" s="36"/>
      <c r="I293" s="36"/>
      <c r="J293" s="36"/>
      <c r="K293" s="36"/>
      <c r="L293" s="36"/>
      <c r="M293" s="36"/>
      <c r="N293" s="36"/>
      <c r="O293" s="36"/>
      <c r="P293" s="36"/>
      <c r="Q293" s="21">
        <f t="shared" si="23"/>
        <v>1.71</v>
      </c>
      <c r="R293" s="3"/>
    </row>
    <row r="294" s="12" customFormat="1" spans="1:18">
      <c r="A294" s="36">
        <v>110021</v>
      </c>
      <c r="B294" s="36">
        <v>110</v>
      </c>
      <c r="C294" s="39"/>
      <c r="D294" s="39"/>
      <c r="E294" s="40"/>
      <c r="F294" s="36">
        <v>21</v>
      </c>
      <c r="G294" s="21"/>
      <c r="H294" s="39"/>
      <c r="I294" s="39"/>
      <c r="J294" s="39"/>
      <c r="K294" s="39"/>
      <c r="L294" s="39"/>
      <c r="M294" s="39"/>
      <c r="N294" s="39"/>
      <c r="O294" s="39"/>
      <c r="P294" s="39"/>
      <c r="Q294" s="21">
        <f t="shared" ref="Q294:Q303" si="24">ROUNDUP(Q293*1.08,2)</f>
        <v>1.85</v>
      </c>
      <c r="R294" s="3"/>
    </row>
    <row r="295" s="12" customFormat="1" spans="1:18">
      <c r="A295" s="36">
        <v>110022</v>
      </c>
      <c r="B295" s="36">
        <v>110</v>
      </c>
      <c r="C295" s="39"/>
      <c r="D295" s="39"/>
      <c r="E295" s="40"/>
      <c r="F295" s="36">
        <v>22</v>
      </c>
      <c r="G295" s="21"/>
      <c r="H295" s="39"/>
      <c r="I295" s="39"/>
      <c r="J295" s="39"/>
      <c r="K295" s="39"/>
      <c r="L295" s="39"/>
      <c r="M295" s="39"/>
      <c r="N295" s="39"/>
      <c r="O295" s="39"/>
      <c r="P295" s="39"/>
      <c r="Q295" s="21">
        <f t="shared" si="24"/>
        <v>2</v>
      </c>
      <c r="R295" s="3"/>
    </row>
    <row r="296" s="12" customFormat="1" spans="1:18">
      <c r="A296" s="36">
        <v>110023</v>
      </c>
      <c r="B296" s="36">
        <v>110</v>
      </c>
      <c r="C296" s="39"/>
      <c r="D296" s="39"/>
      <c r="E296" s="40"/>
      <c r="F296" s="36">
        <v>23</v>
      </c>
      <c r="G296" s="21"/>
      <c r="H296" s="39"/>
      <c r="I296" s="39"/>
      <c r="J296" s="39"/>
      <c r="K296" s="39"/>
      <c r="L296" s="39"/>
      <c r="M296" s="39"/>
      <c r="N296" s="39"/>
      <c r="O296" s="39"/>
      <c r="P296" s="39"/>
      <c r="Q296" s="21">
        <f t="shared" si="24"/>
        <v>2.16</v>
      </c>
      <c r="R296" s="3"/>
    </row>
    <row r="297" s="12" customFormat="1" spans="1:18">
      <c r="A297" s="36">
        <v>110024</v>
      </c>
      <c r="B297" s="36">
        <v>110</v>
      </c>
      <c r="C297" s="39"/>
      <c r="D297" s="39"/>
      <c r="E297" s="40"/>
      <c r="F297" s="36">
        <v>24</v>
      </c>
      <c r="G297" s="21"/>
      <c r="H297" s="39"/>
      <c r="I297" s="39"/>
      <c r="J297" s="39"/>
      <c r="K297" s="39"/>
      <c r="L297" s="39"/>
      <c r="M297" s="39"/>
      <c r="N297" s="39"/>
      <c r="O297" s="39"/>
      <c r="P297" s="39"/>
      <c r="Q297" s="21">
        <f t="shared" si="24"/>
        <v>2.34</v>
      </c>
      <c r="R297" s="3"/>
    </row>
    <row r="298" s="12" customFormat="1" spans="1:18">
      <c r="A298" s="36">
        <v>110025</v>
      </c>
      <c r="B298" s="36">
        <v>110</v>
      </c>
      <c r="C298" s="39"/>
      <c r="D298" s="39"/>
      <c r="E298" s="40"/>
      <c r="F298" s="36">
        <v>25</v>
      </c>
      <c r="G298" s="21"/>
      <c r="H298" s="39"/>
      <c r="I298" s="39"/>
      <c r="J298" s="39"/>
      <c r="K298" s="39"/>
      <c r="L298" s="39"/>
      <c r="M298" s="39"/>
      <c r="N298" s="39"/>
      <c r="O298" s="39"/>
      <c r="P298" s="39"/>
      <c r="Q298" s="21">
        <f t="shared" si="24"/>
        <v>2.53</v>
      </c>
      <c r="R298" s="3"/>
    </row>
    <row r="299" s="12" customFormat="1" spans="1:18">
      <c r="A299" s="36">
        <v>110026</v>
      </c>
      <c r="B299" s="36">
        <v>110</v>
      </c>
      <c r="C299" s="39"/>
      <c r="D299" s="39"/>
      <c r="E299" s="40"/>
      <c r="F299" s="36">
        <v>26</v>
      </c>
      <c r="G299" s="21"/>
      <c r="H299" s="39"/>
      <c r="I299" s="39"/>
      <c r="J299" s="39"/>
      <c r="K299" s="39"/>
      <c r="L299" s="39"/>
      <c r="M299" s="39"/>
      <c r="N299" s="39"/>
      <c r="O299" s="39"/>
      <c r="P299" s="39"/>
      <c r="Q299" s="21">
        <f t="shared" si="24"/>
        <v>2.74</v>
      </c>
      <c r="R299" s="3"/>
    </row>
    <row r="300" s="12" customFormat="1" spans="1:18">
      <c r="A300" s="36">
        <v>110027</v>
      </c>
      <c r="B300" s="36">
        <v>110</v>
      </c>
      <c r="C300" s="39"/>
      <c r="D300" s="39"/>
      <c r="E300" s="40"/>
      <c r="F300" s="36">
        <v>27</v>
      </c>
      <c r="G300" s="21"/>
      <c r="H300" s="39"/>
      <c r="I300" s="39"/>
      <c r="J300" s="39"/>
      <c r="K300" s="39"/>
      <c r="L300" s="39"/>
      <c r="M300" s="39"/>
      <c r="N300" s="39"/>
      <c r="O300" s="39"/>
      <c r="P300" s="39"/>
      <c r="Q300" s="21">
        <f t="shared" si="24"/>
        <v>2.96</v>
      </c>
      <c r="R300" s="3"/>
    </row>
    <row r="301" s="12" customFormat="1" spans="1:18">
      <c r="A301" s="36">
        <v>110028</v>
      </c>
      <c r="B301" s="36">
        <v>110</v>
      </c>
      <c r="C301" s="39"/>
      <c r="D301" s="39"/>
      <c r="E301" s="40"/>
      <c r="F301" s="36">
        <v>28</v>
      </c>
      <c r="G301" s="21"/>
      <c r="H301" s="39"/>
      <c r="I301" s="39"/>
      <c r="J301" s="39"/>
      <c r="K301" s="39"/>
      <c r="L301" s="39"/>
      <c r="M301" s="39"/>
      <c r="N301" s="39"/>
      <c r="O301" s="39"/>
      <c r="P301" s="39"/>
      <c r="Q301" s="21">
        <f t="shared" si="24"/>
        <v>3.2</v>
      </c>
      <c r="R301" s="3"/>
    </row>
    <row r="302" s="12" customFormat="1" spans="1:18">
      <c r="A302" s="36">
        <v>110029</v>
      </c>
      <c r="B302" s="36">
        <v>110</v>
      </c>
      <c r="C302" s="39"/>
      <c r="D302" s="39"/>
      <c r="E302" s="40"/>
      <c r="F302" s="36">
        <v>29</v>
      </c>
      <c r="G302" s="21"/>
      <c r="H302" s="39"/>
      <c r="I302" s="39"/>
      <c r="J302" s="39"/>
      <c r="K302" s="39"/>
      <c r="L302" s="39"/>
      <c r="M302" s="39"/>
      <c r="N302" s="39"/>
      <c r="O302" s="39"/>
      <c r="P302" s="39"/>
      <c r="Q302" s="21">
        <f t="shared" si="24"/>
        <v>3.46</v>
      </c>
      <c r="R302" s="3"/>
    </row>
    <row r="303" s="12" customFormat="1" spans="1:18">
      <c r="A303" s="36">
        <v>110030</v>
      </c>
      <c r="B303" s="36">
        <v>110</v>
      </c>
      <c r="C303" s="39"/>
      <c r="D303" s="39"/>
      <c r="E303" s="40"/>
      <c r="F303" s="36">
        <v>30</v>
      </c>
      <c r="G303" s="21"/>
      <c r="H303" s="39"/>
      <c r="I303" s="39"/>
      <c r="J303" s="39"/>
      <c r="K303" s="39"/>
      <c r="L303" s="39"/>
      <c r="M303" s="39"/>
      <c r="N303" s="39"/>
      <c r="O303" s="39"/>
      <c r="P303" s="39"/>
      <c r="Q303" s="21">
        <f t="shared" si="24"/>
        <v>3.74</v>
      </c>
      <c r="R303" s="3"/>
    </row>
    <row r="304" s="12" customFormat="1" ht="24" spans="1:18">
      <c r="A304" s="39">
        <v>111001</v>
      </c>
      <c r="B304" s="39">
        <v>111</v>
      </c>
      <c r="C304" s="39" t="s">
        <v>65</v>
      </c>
      <c r="D304" s="39" t="s">
        <v>66</v>
      </c>
      <c r="E304" s="40" t="s">
        <v>67</v>
      </c>
      <c r="F304" s="39">
        <v>1</v>
      </c>
      <c r="G304" s="21">
        <v>1.2</v>
      </c>
      <c r="H304" s="39">
        <v>6</v>
      </c>
      <c r="I304" s="39">
        <v>4</v>
      </c>
      <c r="J304" s="39">
        <v>800</v>
      </c>
      <c r="K304" s="39"/>
      <c r="L304" s="39"/>
      <c r="M304" s="39"/>
      <c r="N304" s="39"/>
      <c r="O304" s="39"/>
      <c r="P304" s="39">
        <v>80</v>
      </c>
      <c r="Q304" s="39">
        <v>0.6</v>
      </c>
      <c r="R304" s="3"/>
    </row>
    <row r="305" s="12" customFormat="1" spans="1:18">
      <c r="A305" s="39">
        <v>111002</v>
      </c>
      <c r="B305" s="39">
        <v>111</v>
      </c>
      <c r="C305" s="39"/>
      <c r="D305" s="39"/>
      <c r="E305" s="40"/>
      <c r="F305" s="39">
        <v>2</v>
      </c>
      <c r="G305" s="21">
        <f>ROUNDUP(G304*1.08,2)</f>
        <v>1.3</v>
      </c>
      <c r="H305" s="39"/>
      <c r="I305" s="39"/>
      <c r="J305" s="39"/>
      <c r="K305" s="39"/>
      <c r="L305" s="39"/>
      <c r="M305" s="39"/>
      <c r="N305" s="39"/>
      <c r="O305" s="39"/>
      <c r="P305" s="39"/>
      <c r="Q305" s="21">
        <f>ROUNDUP(Q304*1.08,2)</f>
        <v>0.65</v>
      </c>
      <c r="R305" s="3"/>
    </row>
    <row r="306" s="12" customFormat="1" spans="1:18">
      <c r="A306" s="39">
        <v>111003</v>
      </c>
      <c r="B306" s="39">
        <v>111</v>
      </c>
      <c r="C306" s="39"/>
      <c r="D306" s="39"/>
      <c r="E306" s="40"/>
      <c r="F306" s="39">
        <v>3</v>
      </c>
      <c r="G306" s="21">
        <f t="shared" ref="G306:G323" si="25">ROUNDUP(G305*1.08,2)</f>
        <v>1.41</v>
      </c>
      <c r="H306" s="39"/>
      <c r="I306" s="39"/>
      <c r="J306" s="39"/>
      <c r="K306" s="39"/>
      <c r="L306" s="39"/>
      <c r="M306" s="39"/>
      <c r="N306" s="39"/>
      <c r="O306" s="39"/>
      <c r="P306" s="39"/>
      <c r="Q306" s="21">
        <f t="shared" ref="Q306:Q323" si="26">ROUNDUP(Q305*1.08,2)</f>
        <v>0.71</v>
      </c>
      <c r="R306" s="3"/>
    </row>
    <row r="307" s="12" customFormat="1" spans="1:18">
      <c r="A307" s="39">
        <v>111004</v>
      </c>
      <c r="B307" s="39">
        <v>111</v>
      </c>
      <c r="C307" s="39"/>
      <c r="D307" s="39"/>
      <c r="E307" s="40"/>
      <c r="F307" s="39">
        <v>4</v>
      </c>
      <c r="G307" s="21">
        <f t="shared" si="25"/>
        <v>1.53</v>
      </c>
      <c r="H307" s="39"/>
      <c r="I307" s="39"/>
      <c r="J307" s="39"/>
      <c r="K307" s="39"/>
      <c r="L307" s="39"/>
      <c r="M307" s="39"/>
      <c r="N307" s="39"/>
      <c r="O307" s="39"/>
      <c r="P307" s="39"/>
      <c r="Q307" s="21">
        <f t="shared" si="26"/>
        <v>0.77</v>
      </c>
      <c r="R307" s="3"/>
    </row>
    <row r="308" s="12" customFormat="1" spans="1:18">
      <c r="A308" s="39">
        <v>111005</v>
      </c>
      <c r="B308" s="39">
        <v>111</v>
      </c>
      <c r="C308" s="39"/>
      <c r="D308" s="39"/>
      <c r="E308" s="40"/>
      <c r="F308" s="39">
        <v>5</v>
      </c>
      <c r="G308" s="21">
        <f t="shared" si="25"/>
        <v>1.66</v>
      </c>
      <c r="H308" s="39"/>
      <c r="I308" s="39"/>
      <c r="J308" s="39"/>
      <c r="K308" s="39"/>
      <c r="L308" s="39"/>
      <c r="M308" s="39"/>
      <c r="N308" s="39"/>
      <c r="O308" s="39"/>
      <c r="P308" s="39"/>
      <c r="Q308" s="21">
        <f t="shared" si="26"/>
        <v>0.84</v>
      </c>
      <c r="R308" s="3"/>
    </row>
    <row r="309" s="12" customFormat="1" spans="1:18">
      <c r="A309" s="39">
        <v>111006</v>
      </c>
      <c r="B309" s="39">
        <v>111</v>
      </c>
      <c r="C309" s="39"/>
      <c r="D309" s="39"/>
      <c r="E309" s="40"/>
      <c r="F309" s="39">
        <v>6</v>
      </c>
      <c r="G309" s="21">
        <f t="shared" si="25"/>
        <v>1.8</v>
      </c>
      <c r="H309" s="39"/>
      <c r="I309" s="39"/>
      <c r="J309" s="39"/>
      <c r="K309" s="39"/>
      <c r="L309" s="39"/>
      <c r="M309" s="39"/>
      <c r="N309" s="39"/>
      <c r="O309" s="39"/>
      <c r="P309" s="39"/>
      <c r="Q309" s="21">
        <f t="shared" si="26"/>
        <v>0.91</v>
      </c>
      <c r="R309" s="3"/>
    </row>
    <row r="310" s="12" customFormat="1" spans="1:18">
      <c r="A310" s="39">
        <v>111007</v>
      </c>
      <c r="B310" s="39">
        <v>111</v>
      </c>
      <c r="C310" s="39"/>
      <c r="D310" s="39"/>
      <c r="E310" s="40"/>
      <c r="F310" s="39">
        <v>7</v>
      </c>
      <c r="G310" s="21">
        <f t="shared" si="25"/>
        <v>1.95</v>
      </c>
      <c r="H310" s="39"/>
      <c r="I310" s="39"/>
      <c r="J310" s="39"/>
      <c r="K310" s="39"/>
      <c r="L310" s="39"/>
      <c r="M310" s="39"/>
      <c r="N310" s="39"/>
      <c r="O310" s="39"/>
      <c r="P310" s="39"/>
      <c r="Q310" s="21">
        <f t="shared" si="26"/>
        <v>0.99</v>
      </c>
      <c r="R310" s="3"/>
    </row>
    <row r="311" s="12" customFormat="1" spans="1:18">
      <c r="A311" s="39">
        <v>111008</v>
      </c>
      <c r="B311" s="39">
        <v>111</v>
      </c>
      <c r="C311" s="39"/>
      <c r="D311" s="39"/>
      <c r="E311" s="40"/>
      <c r="F311" s="39">
        <v>8</v>
      </c>
      <c r="G311" s="21">
        <f t="shared" si="25"/>
        <v>2.11</v>
      </c>
      <c r="H311" s="39"/>
      <c r="I311" s="39"/>
      <c r="J311" s="39"/>
      <c r="K311" s="39"/>
      <c r="L311" s="39"/>
      <c r="M311" s="39"/>
      <c r="N311" s="39"/>
      <c r="O311" s="39"/>
      <c r="P311" s="39"/>
      <c r="Q311" s="21">
        <f t="shared" si="26"/>
        <v>1.07</v>
      </c>
      <c r="R311" s="3"/>
    </row>
    <row r="312" s="12" customFormat="1" spans="1:18">
      <c r="A312" s="39">
        <v>111009</v>
      </c>
      <c r="B312" s="39">
        <v>111</v>
      </c>
      <c r="C312" s="39"/>
      <c r="D312" s="39"/>
      <c r="E312" s="40"/>
      <c r="F312" s="39">
        <v>9</v>
      </c>
      <c r="G312" s="21">
        <f t="shared" si="25"/>
        <v>2.28</v>
      </c>
      <c r="H312" s="39"/>
      <c r="I312" s="39"/>
      <c r="J312" s="39"/>
      <c r="K312" s="39"/>
      <c r="L312" s="39"/>
      <c r="M312" s="39"/>
      <c r="N312" s="39"/>
      <c r="O312" s="39"/>
      <c r="P312" s="39"/>
      <c r="Q312" s="21">
        <f t="shared" si="26"/>
        <v>1.16</v>
      </c>
      <c r="R312" s="3"/>
    </row>
    <row r="313" s="12" customFormat="1" spans="1:18">
      <c r="A313" s="39">
        <v>111010</v>
      </c>
      <c r="B313" s="39">
        <v>111</v>
      </c>
      <c r="C313" s="39"/>
      <c r="D313" s="39"/>
      <c r="E313" s="40"/>
      <c r="F313" s="39">
        <v>10</v>
      </c>
      <c r="G313" s="21">
        <f t="shared" si="25"/>
        <v>2.47</v>
      </c>
      <c r="H313" s="39"/>
      <c r="I313" s="39"/>
      <c r="J313" s="39"/>
      <c r="K313" s="39"/>
      <c r="L313" s="39"/>
      <c r="M313" s="39"/>
      <c r="N313" s="39"/>
      <c r="O313" s="39"/>
      <c r="P313" s="39"/>
      <c r="Q313" s="21">
        <f t="shared" si="26"/>
        <v>1.26</v>
      </c>
      <c r="R313" s="3"/>
    </row>
    <row r="314" s="12" customFormat="1" spans="1:18">
      <c r="A314" s="39">
        <v>111011</v>
      </c>
      <c r="B314" s="39">
        <v>111</v>
      </c>
      <c r="C314" s="39"/>
      <c r="D314" s="39"/>
      <c r="E314" s="40"/>
      <c r="F314" s="39">
        <v>11</v>
      </c>
      <c r="G314" s="21">
        <f t="shared" si="25"/>
        <v>2.67</v>
      </c>
      <c r="H314" s="39"/>
      <c r="I314" s="39"/>
      <c r="J314" s="39"/>
      <c r="K314" s="39"/>
      <c r="L314" s="39"/>
      <c r="M314" s="39"/>
      <c r="N314" s="39"/>
      <c r="O314" s="39"/>
      <c r="P314" s="39"/>
      <c r="Q314" s="21">
        <f t="shared" si="26"/>
        <v>1.37</v>
      </c>
      <c r="R314" s="3"/>
    </row>
    <row r="315" s="12" customFormat="1" spans="1:18">
      <c r="A315" s="39">
        <v>111012</v>
      </c>
      <c r="B315" s="39">
        <v>111</v>
      </c>
      <c r="C315" s="39"/>
      <c r="D315" s="39"/>
      <c r="E315" s="40"/>
      <c r="F315" s="39">
        <v>12</v>
      </c>
      <c r="G315" s="21">
        <f t="shared" si="25"/>
        <v>2.89</v>
      </c>
      <c r="H315" s="39"/>
      <c r="I315" s="39"/>
      <c r="J315" s="39"/>
      <c r="K315" s="39"/>
      <c r="L315" s="39"/>
      <c r="M315" s="39"/>
      <c r="N315" s="39"/>
      <c r="O315" s="39"/>
      <c r="P315" s="39"/>
      <c r="Q315" s="21">
        <f t="shared" si="26"/>
        <v>1.48</v>
      </c>
      <c r="R315" s="3"/>
    </row>
    <row r="316" s="12" customFormat="1" spans="1:18">
      <c r="A316" s="39">
        <v>111013</v>
      </c>
      <c r="B316" s="39">
        <v>111</v>
      </c>
      <c r="C316" s="39"/>
      <c r="D316" s="39"/>
      <c r="E316" s="40"/>
      <c r="F316" s="39">
        <v>13</v>
      </c>
      <c r="G316" s="21">
        <f t="shared" si="25"/>
        <v>3.13</v>
      </c>
      <c r="H316" s="39"/>
      <c r="I316" s="39"/>
      <c r="J316" s="39"/>
      <c r="K316" s="39"/>
      <c r="L316" s="39"/>
      <c r="M316" s="39"/>
      <c r="N316" s="39"/>
      <c r="O316" s="39"/>
      <c r="P316" s="39"/>
      <c r="Q316" s="21">
        <f t="shared" si="26"/>
        <v>1.6</v>
      </c>
      <c r="R316" s="3"/>
    </row>
    <row r="317" s="12" customFormat="1" spans="1:18">
      <c r="A317" s="39">
        <v>111014</v>
      </c>
      <c r="B317" s="39">
        <v>111</v>
      </c>
      <c r="C317" s="39"/>
      <c r="D317" s="39"/>
      <c r="E317" s="40"/>
      <c r="F317" s="39">
        <v>14</v>
      </c>
      <c r="G317" s="21">
        <f t="shared" si="25"/>
        <v>3.39</v>
      </c>
      <c r="H317" s="39"/>
      <c r="I317" s="39"/>
      <c r="J317" s="39"/>
      <c r="K317" s="39"/>
      <c r="L317" s="39"/>
      <c r="M317" s="39"/>
      <c r="N317" s="39"/>
      <c r="O317" s="39"/>
      <c r="P317" s="39"/>
      <c r="Q317" s="21">
        <f t="shared" si="26"/>
        <v>1.73</v>
      </c>
      <c r="R317" s="3"/>
    </row>
    <row r="318" s="12" customFormat="1" spans="1:18">
      <c r="A318" s="39">
        <v>111015</v>
      </c>
      <c r="B318" s="39">
        <v>111</v>
      </c>
      <c r="C318" s="39"/>
      <c r="D318" s="39"/>
      <c r="E318" s="40"/>
      <c r="F318" s="39">
        <v>15</v>
      </c>
      <c r="G318" s="21">
        <f t="shared" si="25"/>
        <v>3.67</v>
      </c>
      <c r="H318" s="39"/>
      <c r="I318" s="39"/>
      <c r="J318" s="39"/>
      <c r="K318" s="39"/>
      <c r="L318" s="39"/>
      <c r="M318" s="39"/>
      <c r="N318" s="39"/>
      <c r="O318" s="39"/>
      <c r="P318" s="39"/>
      <c r="Q318" s="21">
        <f t="shared" si="26"/>
        <v>1.87</v>
      </c>
      <c r="R318" s="3"/>
    </row>
    <row r="319" s="12" customFormat="1" spans="1:18">
      <c r="A319" s="39">
        <v>111016</v>
      </c>
      <c r="B319" s="39">
        <v>111</v>
      </c>
      <c r="C319" s="39"/>
      <c r="D319" s="39"/>
      <c r="E319" s="40"/>
      <c r="F319" s="39">
        <v>16</v>
      </c>
      <c r="G319" s="21">
        <f t="shared" si="25"/>
        <v>3.97</v>
      </c>
      <c r="H319" s="39"/>
      <c r="I319" s="39"/>
      <c r="J319" s="39"/>
      <c r="K319" s="39"/>
      <c r="L319" s="39"/>
      <c r="M319" s="39"/>
      <c r="N319" s="39"/>
      <c r="O319" s="39"/>
      <c r="P319" s="39"/>
      <c r="Q319" s="21">
        <f t="shared" si="26"/>
        <v>2.02</v>
      </c>
      <c r="R319" s="3"/>
    </row>
    <row r="320" s="12" customFormat="1" spans="1:18">
      <c r="A320" s="39">
        <v>111017</v>
      </c>
      <c r="B320" s="39">
        <v>111</v>
      </c>
      <c r="C320" s="39"/>
      <c r="D320" s="39"/>
      <c r="E320" s="40"/>
      <c r="F320" s="39">
        <v>17</v>
      </c>
      <c r="G320" s="21">
        <f t="shared" si="25"/>
        <v>4.29</v>
      </c>
      <c r="H320" s="39"/>
      <c r="I320" s="39"/>
      <c r="J320" s="39"/>
      <c r="K320" s="39"/>
      <c r="L320" s="39"/>
      <c r="M320" s="39"/>
      <c r="N320" s="39"/>
      <c r="O320" s="39"/>
      <c r="P320" s="39"/>
      <c r="Q320" s="21">
        <f t="shared" si="26"/>
        <v>2.19</v>
      </c>
      <c r="R320" s="3"/>
    </row>
    <row r="321" s="12" customFormat="1" spans="1:18">
      <c r="A321" s="39">
        <v>111018</v>
      </c>
      <c r="B321" s="39">
        <v>111</v>
      </c>
      <c r="C321" s="39"/>
      <c r="D321" s="39"/>
      <c r="E321" s="40"/>
      <c r="F321" s="39">
        <v>18</v>
      </c>
      <c r="G321" s="21">
        <f t="shared" si="25"/>
        <v>4.64</v>
      </c>
      <c r="H321" s="39"/>
      <c r="I321" s="39"/>
      <c r="J321" s="39"/>
      <c r="K321" s="39"/>
      <c r="L321" s="39"/>
      <c r="M321" s="39"/>
      <c r="N321" s="39"/>
      <c r="O321" s="39"/>
      <c r="P321" s="39"/>
      <c r="Q321" s="21">
        <f t="shared" si="26"/>
        <v>2.37</v>
      </c>
      <c r="R321" s="3"/>
    </row>
    <row r="322" s="12" customFormat="1" spans="1:18">
      <c r="A322" s="39">
        <v>111019</v>
      </c>
      <c r="B322" s="39">
        <v>111</v>
      </c>
      <c r="C322" s="39"/>
      <c r="D322" s="39"/>
      <c r="E322" s="40"/>
      <c r="F322" s="39">
        <v>19</v>
      </c>
      <c r="G322" s="21">
        <f t="shared" si="25"/>
        <v>5.02</v>
      </c>
      <c r="H322" s="39"/>
      <c r="I322" s="39"/>
      <c r="J322" s="39"/>
      <c r="K322" s="39"/>
      <c r="L322" s="39"/>
      <c r="M322" s="39"/>
      <c r="N322" s="39"/>
      <c r="O322" s="39"/>
      <c r="P322" s="39"/>
      <c r="Q322" s="21">
        <f t="shared" si="26"/>
        <v>2.56</v>
      </c>
      <c r="R322" s="3"/>
    </row>
    <row r="323" s="12" customFormat="1" spans="1:18">
      <c r="A323" s="39">
        <v>111020</v>
      </c>
      <c r="B323" s="39">
        <v>111</v>
      </c>
      <c r="C323" s="39"/>
      <c r="D323" s="39"/>
      <c r="E323" s="40"/>
      <c r="F323" s="39">
        <v>20</v>
      </c>
      <c r="G323" s="21">
        <f t="shared" si="25"/>
        <v>5.43</v>
      </c>
      <c r="H323" s="39"/>
      <c r="I323" s="39"/>
      <c r="J323" s="39"/>
      <c r="K323" s="39"/>
      <c r="L323" s="39"/>
      <c r="M323" s="39"/>
      <c r="N323" s="39"/>
      <c r="O323" s="39"/>
      <c r="P323" s="39"/>
      <c r="Q323" s="21">
        <f t="shared" si="26"/>
        <v>2.77</v>
      </c>
      <c r="R323" s="3"/>
    </row>
    <row r="324" s="13" customFormat="1" spans="1:18">
      <c r="A324" s="39">
        <v>111021</v>
      </c>
      <c r="B324" s="39">
        <v>111</v>
      </c>
      <c r="C324" s="41"/>
      <c r="D324" s="41"/>
      <c r="E324" s="42"/>
      <c r="F324" s="39">
        <v>21</v>
      </c>
      <c r="G324" s="21">
        <f t="shared" ref="G324:G333" si="27">ROUNDUP(G323*1.08,2)</f>
        <v>5.87</v>
      </c>
      <c r="H324" s="41"/>
      <c r="I324" s="41"/>
      <c r="J324" s="41"/>
      <c r="K324" s="41"/>
      <c r="L324" s="41"/>
      <c r="M324" s="41"/>
      <c r="N324" s="41"/>
      <c r="O324" s="41"/>
      <c r="P324" s="41"/>
      <c r="Q324" s="21">
        <f t="shared" ref="Q324:Q333" si="28">ROUNDUP(Q323*1.08,2)</f>
        <v>3</v>
      </c>
      <c r="R324" s="3"/>
    </row>
    <row r="325" s="13" customFormat="1" spans="1:18">
      <c r="A325" s="39">
        <v>111022</v>
      </c>
      <c r="B325" s="39">
        <v>111</v>
      </c>
      <c r="C325" s="41"/>
      <c r="D325" s="41"/>
      <c r="E325" s="42"/>
      <c r="F325" s="39">
        <v>22</v>
      </c>
      <c r="G325" s="21">
        <f t="shared" si="27"/>
        <v>6.34</v>
      </c>
      <c r="H325" s="41"/>
      <c r="I325" s="41"/>
      <c r="J325" s="41"/>
      <c r="K325" s="41"/>
      <c r="L325" s="41"/>
      <c r="M325" s="41"/>
      <c r="N325" s="41"/>
      <c r="O325" s="41"/>
      <c r="P325" s="41"/>
      <c r="Q325" s="21">
        <f t="shared" si="28"/>
        <v>3.24</v>
      </c>
      <c r="R325" s="3"/>
    </row>
    <row r="326" s="13" customFormat="1" spans="1:18">
      <c r="A326" s="39">
        <v>111023</v>
      </c>
      <c r="B326" s="39">
        <v>111</v>
      </c>
      <c r="C326" s="41"/>
      <c r="D326" s="41"/>
      <c r="E326" s="42"/>
      <c r="F326" s="39">
        <v>23</v>
      </c>
      <c r="G326" s="21">
        <f t="shared" si="27"/>
        <v>6.85</v>
      </c>
      <c r="H326" s="41"/>
      <c r="I326" s="41"/>
      <c r="J326" s="41"/>
      <c r="K326" s="41"/>
      <c r="L326" s="41"/>
      <c r="M326" s="41"/>
      <c r="N326" s="41"/>
      <c r="O326" s="41"/>
      <c r="P326" s="41"/>
      <c r="Q326" s="21">
        <f t="shared" si="28"/>
        <v>3.5</v>
      </c>
      <c r="R326" s="3"/>
    </row>
    <row r="327" s="13" customFormat="1" spans="1:18">
      <c r="A327" s="39">
        <v>111024</v>
      </c>
      <c r="B327" s="39">
        <v>111</v>
      </c>
      <c r="C327" s="41"/>
      <c r="D327" s="41"/>
      <c r="E327" s="42"/>
      <c r="F327" s="39">
        <v>24</v>
      </c>
      <c r="G327" s="21">
        <f t="shared" si="27"/>
        <v>7.4</v>
      </c>
      <c r="H327" s="41"/>
      <c r="I327" s="41"/>
      <c r="J327" s="41"/>
      <c r="K327" s="41"/>
      <c r="L327" s="41"/>
      <c r="M327" s="41"/>
      <c r="N327" s="41"/>
      <c r="O327" s="41"/>
      <c r="P327" s="41"/>
      <c r="Q327" s="21">
        <f t="shared" si="28"/>
        <v>3.78</v>
      </c>
      <c r="R327" s="3"/>
    </row>
    <row r="328" s="13" customFormat="1" spans="1:18">
      <c r="A328" s="39">
        <v>111025</v>
      </c>
      <c r="B328" s="39">
        <v>111</v>
      </c>
      <c r="C328" s="41"/>
      <c r="D328" s="41"/>
      <c r="E328" s="42"/>
      <c r="F328" s="39">
        <v>25</v>
      </c>
      <c r="G328" s="21">
        <f t="shared" si="27"/>
        <v>8</v>
      </c>
      <c r="H328" s="41"/>
      <c r="I328" s="41"/>
      <c r="J328" s="41"/>
      <c r="K328" s="41"/>
      <c r="L328" s="41"/>
      <c r="M328" s="41"/>
      <c r="N328" s="41"/>
      <c r="O328" s="41"/>
      <c r="P328" s="41"/>
      <c r="Q328" s="21">
        <f t="shared" si="28"/>
        <v>4.09</v>
      </c>
      <c r="R328" s="3"/>
    </row>
    <row r="329" s="13" customFormat="1" spans="1:18">
      <c r="A329" s="39">
        <v>111026</v>
      </c>
      <c r="B329" s="39">
        <v>111</v>
      </c>
      <c r="C329" s="41"/>
      <c r="D329" s="41"/>
      <c r="E329" s="42"/>
      <c r="F329" s="39">
        <v>26</v>
      </c>
      <c r="G329" s="21">
        <f t="shared" si="27"/>
        <v>8.64</v>
      </c>
      <c r="H329" s="41"/>
      <c r="I329" s="41"/>
      <c r="J329" s="41"/>
      <c r="K329" s="41"/>
      <c r="L329" s="41"/>
      <c r="M329" s="41"/>
      <c r="N329" s="41"/>
      <c r="O329" s="41"/>
      <c r="P329" s="41"/>
      <c r="Q329" s="21">
        <f t="shared" si="28"/>
        <v>4.42</v>
      </c>
      <c r="R329" s="3"/>
    </row>
    <row r="330" s="13" customFormat="1" spans="1:18">
      <c r="A330" s="39">
        <v>111027</v>
      </c>
      <c r="B330" s="39">
        <v>111</v>
      </c>
      <c r="C330" s="41"/>
      <c r="D330" s="41"/>
      <c r="E330" s="42"/>
      <c r="F330" s="39">
        <v>27</v>
      </c>
      <c r="G330" s="21">
        <f t="shared" si="27"/>
        <v>9.34</v>
      </c>
      <c r="H330" s="41"/>
      <c r="I330" s="41"/>
      <c r="J330" s="41"/>
      <c r="K330" s="41"/>
      <c r="L330" s="41"/>
      <c r="M330" s="41"/>
      <c r="N330" s="41"/>
      <c r="O330" s="41"/>
      <c r="P330" s="41"/>
      <c r="Q330" s="21">
        <f t="shared" si="28"/>
        <v>4.78</v>
      </c>
      <c r="R330" s="3"/>
    </row>
    <row r="331" s="13" customFormat="1" spans="1:18">
      <c r="A331" s="39">
        <v>111028</v>
      </c>
      <c r="B331" s="39">
        <v>111</v>
      </c>
      <c r="C331" s="41"/>
      <c r="D331" s="41"/>
      <c r="E331" s="42"/>
      <c r="F331" s="39">
        <v>28</v>
      </c>
      <c r="G331" s="21">
        <f t="shared" si="27"/>
        <v>10.09</v>
      </c>
      <c r="H331" s="41"/>
      <c r="I331" s="41"/>
      <c r="J331" s="41"/>
      <c r="K331" s="41"/>
      <c r="L331" s="41"/>
      <c r="M331" s="41"/>
      <c r="N331" s="41"/>
      <c r="O331" s="41"/>
      <c r="P331" s="41"/>
      <c r="Q331" s="21">
        <f t="shared" si="28"/>
        <v>5.17</v>
      </c>
      <c r="R331" s="3"/>
    </row>
    <row r="332" s="13" customFormat="1" spans="1:18">
      <c r="A332" s="39">
        <v>111029</v>
      </c>
      <c r="B332" s="39">
        <v>111</v>
      </c>
      <c r="C332" s="41"/>
      <c r="D332" s="41"/>
      <c r="E332" s="42"/>
      <c r="F332" s="39">
        <v>29</v>
      </c>
      <c r="G332" s="21">
        <f t="shared" si="27"/>
        <v>10.9</v>
      </c>
      <c r="H332" s="41"/>
      <c r="I332" s="41"/>
      <c r="J332" s="41"/>
      <c r="K332" s="41"/>
      <c r="L332" s="41"/>
      <c r="M332" s="41"/>
      <c r="N332" s="41"/>
      <c r="O332" s="41"/>
      <c r="P332" s="41"/>
      <c r="Q332" s="21">
        <f t="shared" si="28"/>
        <v>5.59</v>
      </c>
      <c r="R332" s="3"/>
    </row>
    <row r="333" s="13" customFormat="1" spans="1:18">
      <c r="A333" s="39">
        <v>111030</v>
      </c>
      <c r="B333" s="39">
        <v>111</v>
      </c>
      <c r="C333" s="41"/>
      <c r="D333" s="41"/>
      <c r="E333" s="42"/>
      <c r="F333" s="39">
        <v>30</v>
      </c>
      <c r="G333" s="21">
        <f t="shared" si="27"/>
        <v>11.78</v>
      </c>
      <c r="H333" s="41"/>
      <c r="I333" s="41"/>
      <c r="J333" s="41"/>
      <c r="K333" s="41"/>
      <c r="L333" s="41"/>
      <c r="M333" s="41"/>
      <c r="N333" s="41"/>
      <c r="O333" s="41"/>
      <c r="P333" s="41"/>
      <c r="Q333" s="21">
        <f t="shared" si="28"/>
        <v>6.04</v>
      </c>
      <c r="R333" s="3"/>
    </row>
    <row r="334" s="13" customFormat="1" spans="1:18">
      <c r="A334" s="41">
        <v>112001</v>
      </c>
      <c r="B334" s="41">
        <v>112</v>
      </c>
      <c r="C334" s="41" t="s">
        <v>68</v>
      </c>
      <c r="D334" s="41" t="s">
        <v>69</v>
      </c>
      <c r="E334" s="43" t="s">
        <v>70</v>
      </c>
      <c r="F334" s="41">
        <v>1</v>
      </c>
      <c r="G334" s="21">
        <v>0.8</v>
      </c>
      <c r="H334" s="41">
        <v>6</v>
      </c>
      <c r="I334" s="41">
        <v>7</v>
      </c>
      <c r="J334" s="41">
        <v>800</v>
      </c>
      <c r="K334" s="41"/>
      <c r="L334" s="41">
        <v>4</v>
      </c>
      <c r="M334" s="41"/>
      <c r="N334" s="41">
        <v>500</v>
      </c>
      <c r="O334" s="41"/>
      <c r="P334" s="41"/>
      <c r="Q334" s="41">
        <v>0.3</v>
      </c>
      <c r="R334" s="3"/>
    </row>
    <row r="335" s="13" customFormat="1" spans="1:18">
      <c r="A335" s="41">
        <v>112002</v>
      </c>
      <c r="B335" s="41">
        <v>112</v>
      </c>
      <c r="C335" s="41"/>
      <c r="D335" s="41"/>
      <c r="E335" s="43"/>
      <c r="F335" s="41">
        <v>2</v>
      </c>
      <c r="G335" s="21">
        <f>ROUNDUP(G334*1.08,2)</f>
        <v>0.87</v>
      </c>
      <c r="H335" s="41"/>
      <c r="I335" s="41"/>
      <c r="J335" s="41"/>
      <c r="K335" s="41"/>
      <c r="L335" s="41"/>
      <c r="M335" s="41"/>
      <c r="N335" s="41"/>
      <c r="O335" s="41"/>
      <c r="P335" s="41"/>
      <c r="Q335" s="41">
        <v>0.32</v>
      </c>
      <c r="R335" s="3"/>
    </row>
    <row r="336" s="13" customFormat="1" spans="1:18">
      <c r="A336" s="41">
        <v>112003</v>
      </c>
      <c r="B336" s="41">
        <v>112</v>
      </c>
      <c r="C336" s="41"/>
      <c r="D336" s="41"/>
      <c r="E336" s="43"/>
      <c r="F336" s="41">
        <v>3</v>
      </c>
      <c r="G336" s="21">
        <f t="shared" ref="G336:G353" si="29">ROUNDUP(G335*1.08,2)</f>
        <v>0.94</v>
      </c>
      <c r="H336" s="41"/>
      <c r="I336" s="41"/>
      <c r="J336" s="41"/>
      <c r="K336" s="41"/>
      <c r="L336" s="41"/>
      <c r="M336" s="41"/>
      <c r="N336" s="41"/>
      <c r="O336" s="41"/>
      <c r="P336" s="41"/>
      <c r="Q336" s="41">
        <v>0.34</v>
      </c>
      <c r="R336" s="3"/>
    </row>
    <row r="337" s="13" customFormat="1" spans="1:18">
      <c r="A337" s="41">
        <v>112004</v>
      </c>
      <c r="B337" s="41">
        <v>112</v>
      </c>
      <c r="C337" s="41"/>
      <c r="D337" s="41"/>
      <c r="E337" s="43"/>
      <c r="F337" s="41">
        <v>4</v>
      </c>
      <c r="G337" s="21">
        <f t="shared" si="29"/>
        <v>1.02</v>
      </c>
      <c r="H337" s="41"/>
      <c r="I337" s="41"/>
      <c r="J337" s="41"/>
      <c r="K337" s="41"/>
      <c r="L337" s="41"/>
      <c r="M337" s="41"/>
      <c r="N337" s="41"/>
      <c r="O337" s="41"/>
      <c r="P337" s="41"/>
      <c r="Q337" s="41">
        <v>0.36</v>
      </c>
      <c r="R337" s="3"/>
    </row>
    <row r="338" s="13" customFormat="1" spans="1:18">
      <c r="A338" s="41">
        <v>112005</v>
      </c>
      <c r="B338" s="41">
        <v>112</v>
      </c>
      <c r="C338" s="41"/>
      <c r="D338" s="41"/>
      <c r="E338" s="43"/>
      <c r="F338" s="41">
        <v>5</v>
      </c>
      <c r="G338" s="21">
        <f t="shared" si="29"/>
        <v>1.11</v>
      </c>
      <c r="H338" s="41"/>
      <c r="I338" s="41"/>
      <c r="J338" s="41"/>
      <c r="K338" s="41"/>
      <c r="L338" s="41"/>
      <c r="M338" s="41"/>
      <c r="N338" s="41"/>
      <c r="O338" s="41"/>
      <c r="P338" s="41"/>
      <c r="Q338" s="41">
        <v>0.38</v>
      </c>
      <c r="R338" s="3"/>
    </row>
    <row r="339" s="13" customFormat="1" spans="1:18">
      <c r="A339" s="41">
        <v>112006</v>
      </c>
      <c r="B339" s="41">
        <v>112</v>
      </c>
      <c r="C339" s="41"/>
      <c r="D339" s="41"/>
      <c r="E339" s="43"/>
      <c r="F339" s="41">
        <v>6</v>
      </c>
      <c r="G339" s="21">
        <f t="shared" si="29"/>
        <v>1.2</v>
      </c>
      <c r="H339" s="41"/>
      <c r="I339" s="41"/>
      <c r="J339" s="41"/>
      <c r="K339" s="41"/>
      <c r="L339" s="41"/>
      <c r="M339" s="41"/>
      <c r="N339" s="41"/>
      <c r="O339" s="41"/>
      <c r="P339" s="41"/>
      <c r="Q339" s="41">
        <v>0.4</v>
      </c>
      <c r="R339" s="3"/>
    </row>
    <row r="340" s="13" customFormat="1" spans="1:18">
      <c r="A340" s="41">
        <v>112007</v>
      </c>
      <c r="B340" s="41">
        <v>112</v>
      </c>
      <c r="C340" s="41"/>
      <c r="D340" s="41"/>
      <c r="E340" s="43"/>
      <c r="F340" s="41">
        <v>7</v>
      </c>
      <c r="G340" s="21">
        <f t="shared" si="29"/>
        <v>1.3</v>
      </c>
      <c r="H340" s="41"/>
      <c r="I340" s="41"/>
      <c r="J340" s="41"/>
      <c r="K340" s="41"/>
      <c r="L340" s="41"/>
      <c r="M340" s="41"/>
      <c r="N340" s="41"/>
      <c r="O340" s="41"/>
      <c r="P340" s="41"/>
      <c r="Q340" s="41">
        <v>0.42</v>
      </c>
      <c r="R340" s="3"/>
    </row>
    <row r="341" s="13" customFormat="1" spans="1:18">
      <c r="A341" s="41">
        <v>112008</v>
      </c>
      <c r="B341" s="41">
        <v>112</v>
      </c>
      <c r="C341" s="41"/>
      <c r="D341" s="41"/>
      <c r="E341" s="43"/>
      <c r="F341" s="41">
        <v>8</v>
      </c>
      <c r="G341" s="21">
        <f t="shared" si="29"/>
        <v>1.41</v>
      </c>
      <c r="H341" s="41"/>
      <c r="I341" s="41"/>
      <c r="J341" s="41"/>
      <c r="K341" s="41"/>
      <c r="L341" s="41"/>
      <c r="M341" s="41"/>
      <c r="N341" s="41"/>
      <c r="O341" s="41"/>
      <c r="P341" s="41"/>
      <c r="Q341" s="41">
        <v>0.44</v>
      </c>
      <c r="R341" s="3"/>
    </row>
    <row r="342" s="13" customFormat="1" spans="1:18">
      <c r="A342" s="41">
        <v>112009</v>
      </c>
      <c r="B342" s="41">
        <v>112</v>
      </c>
      <c r="C342" s="41"/>
      <c r="D342" s="41"/>
      <c r="E342" s="43"/>
      <c r="F342" s="41">
        <v>9</v>
      </c>
      <c r="G342" s="21">
        <f t="shared" si="29"/>
        <v>1.53</v>
      </c>
      <c r="H342" s="41"/>
      <c r="I342" s="41"/>
      <c r="J342" s="41"/>
      <c r="K342" s="41"/>
      <c r="L342" s="41"/>
      <c r="M342" s="41"/>
      <c r="N342" s="41"/>
      <c r="O342" s="41"/>
      <c r="P342" s="41"/>
      <c r="Q342" s="41">
        <v>0.46</v>
      </c>
      <c r="R342" s="3"/>
    </row>
    <row r="343" s="13" customFormat="1" spans="1:18">
      <c r="A343" s="41">
        <v>112010</v>
      </c>
      <c r="B343" s="41">
        <v>112</v>
      </c>
      <c r="C343" s="41"/>
      <c r="D343" s="41"/>
      <c r="E343" s="43"/>
      <c r="F343" s="41">
        <v>10</v>
      </c>
      <c r="G343" s="21">
        <f t="shared" si="29"/>
        <v>1.66</v>
      </c>
      <c r="H343" s="41"/>
      <c r="I343" s="41"/>
      <c r="J343" s="41"/>
      <c r="K343" s="41"/>
      <c r="L343" s="41"/>
      <c r="M343" s="41"/>
      <c r="N343" s="41"/>
      <c r="O343" s="41"/>
      <c r="P343" s="41"/>
      <c r="Q343" s="41">
        <v>0.48</v>
      </c>
      <c r="R343" s="3"/>
    </row>
    <row r="344" s="13" customFormat="1" spans="1:18">
      <c r="A344" s="41">
        <v>112011</v>
      </c>
      <c r="B344" s="41">
        <v>112</v>
      </c>
      <c r="C344" s="41"/>
      <c r="D344" s="41"/>
      <c r="E344" s="43"/>
      <c r="F344" s="41">
        <v>11</v>
      </c>
      <c r="G344" s="21">
        <f t="shared" si="29"/>
        <v>1.8</v>
      </c>
      <c r="H344" s="41"/>
      <c r="I344" s="41"/>
      <c r="J344" s="41"/>
      <c r="K344" s="41"/>
      <c r="L344" s="41"/>
      <c r="M344" s="41"/>
      <c r="N344" s="41"/>
      <c r="O344" s="41"/>
      <c r="P344" s="41"/>
      <c r="Q344" s="41">
        <v>0.5</v>
      </c>
      <c r="R344" s="3"/>
    </row>
    <row r="345" s="13" customFormat="1" spans="1:18">
      <c r="A345" s="41">
        <v>112012</v>
      </c>
      <c r="B345" s="41">
        <v>112</v>
      </c>
      <c r="C345" s="41"/>
      <c r="D345" s="41"/>
      <c r="E345" s="43"/>
      <c r="F345" s="41">
        <v>12</v>
      </c>
      <c r="G345" s="21">
        <f t="shared" si="29"/>
        <v>1.95</v>
      </c>
      <c r="H345" s="41"/>
      <c r="I345" s="41"/>
      <c r="J345" s="41"/>
      <c r="K345" s="41"/>
      <c r="L345" s="41"/>
      <c r="M345" s="41"/>
      <c r="N345" s="41"/>
      <c r="O345" s="41"/>
      <c r="P345" s="41"/>
      <c r="Q345" s="41">
        <v>0.52</v>
      </c>
      <c r="R345" s="3"/>
    </row>
    <row r="346" s="13" customFormat="1" spans="1:18">
      <c r="A346" s="41">
        <v>112013</v>
      </c>
      <c r="B346" s="41">
        <v>112</v>
      </c>
      <c r="C346" s="41"/>
      <c r="D346" s="41"/>
      <c r="E346" s="43"/>
      <c r="F346" s="41">
        <v>13</v>
      </c>
      <c r="G346" s="21">
        <f t="shared" si="29"/>
        <v>2.11</v>
      </c>
      <c r="H346" s="41"/>
      <c r="I346" s="41"/>
      <c r="J346" s="41"/>
      <c r="K346" s="41"/>
      <c r="L346" s="41"/>
      <c r="M346" s="41"/>
      <c r="N346" s="41"/>
      <c r="O346" s="41"/>
      <c r="P346" s="41"/>
      <c r="Q346" s="41">
        <v>0.54</v>
      </c>
      <c r="R346" s="3"/>
    </row>
    <row r="347" s="13" customFormat="1" spans="1:18">
      <c r="A347" s="41">
        <v>112014</v>
      </c>
      <c r="B347" s="41">
        <v>112</v>
      </c>
      <c r="C347" s="41"/>
      <c r="D347" s="41"/>
      <c r="E347" s="43"/>
      <c r="F347" s="41">
        <v>14</v>
      </c>
      <c r="G347" s="21">
        <f t="shared" si="29"/>
        <v>2.28</v>
      </c>
      <c r="H347" s="41"/>
      <c r="I347" s="41"/>
      <c r="J347" s="41"/>
      <c r="K347" s="41"/>
      <c r="L347" s="41"/>
      <c r="M347" s="41"/>
      <c r="N347" s="41"/>
      <c r="O347" s="41"/>
      <c r="P347" s="41"/>
      <c r="Q347" s="41">
        <v>0.56</v>
      </c>
      <c r="R347" s="3"/>
    </row>
    <row r="348" s="13" customFormat="1" spans="1:18">
      <c r="A348" s="41">
        <v>112015</v>
      </c>
      <c r="B348" s="41">
        <v>112</v>
      </c>
      <c r="C348" s="41"/>
      <c r="D348" s="41"/>
      <c r="E348" s="43"/>
      <c r="F348" s="41">
        <v>15</v>
      </c>
      <c r="G348" s="21">
        <f t="shared" si="29"/>
        <v>2.47</v>
      </c>
      <c r="H348" s="41"/>
      <c r="I348" s="41"/>
      <c r="J348" s="41"/>
      <c r="K348" s="41"/>
      <c r="L348" s="41"/>
      <c r="M348" s="41"/>
      <c r="N348" s="41"/>
      <c r="O348" s="41"/>
      <c r="P348" s="41"/>
      <c r="Q348" s="41">
        <v>0.58</v>
      </c>
      <c r="R348" s="3"/>
    </row>
    <row r="349" s="13" customFormat="1" spans="1:18">
      <c r="A349" s="41">
        <v>112016</v>
      </c>
      <c r="B349" s="41">
        <v>112</v>
      </c>
      <c r="C349" s="41"/>
      <c r="D349" s="41"/>
      <c r="E349" s="43"/>
      <c r="F349" s="41">
        <v>16</v>
      </c>
      <c r="G349" s="21">
        <f t="shared" si="29"/>
        <v>2.67</v>
      </c>
      <c r="H349" s="41"/>
      <c r="I349" s="41"/>
      <c r="J349" s="41"/>
      <c r="K349" s="41"/>
      <c r="L349" s="41"/>
      <c r="M349" s="41"/>
      <c r="N349" s="41"/>
      <c r="O349" s="41"/>
      <c r="P349" s="41"/>
      <c r="Q349" s="41">
        <v>0.6</v>
      </c>
      <c r="R349" s="3"/>
    </row>
    <row r="350" s="13" customFormat="1" spans="1:18">
      <c r="A350" s="41">
        <v>112017</v>
      </c>
      <c r="B350" s="41">
        <v>112</v>
      </c>
      <c r="C350" s="41"/>
      <c r="D350" s="41"/>
      <c r="E350" s="43"/>
      <c r="F350" s="41">
        <v>17</v>
      </c>
      <c r="G350" s="21">
        <f t="shared" si="29"/>
        <v>2.89</v>
      </c>
      <c r="H350" s="41"/>
      <c r="I350" s="41"/>
      <c r="J350" s="41"/>
      <c r="K350" s="41"/>
      <c r="L350" s="41"/>
      <c r="M350" s="41"/>
      <c r="N350" s="41"/>
      <c r="O350" s="41"/>
      <c r="P350" s="41"/>
      <c r="Q350" s="41">
        <v>0.62</v>
      </c>
      <c r="R350" s="3"/>
    </row>
    <row r="351" s="13" customFormat="1" spans="1:18">
      <c r="A351" s="41">
        <v>112018</v>
      </c>
      <c r="B351" s="41">
        <v>112</v>
      </c>
      <c r="C351" s="41"/>
      <c r="D351" s="41"/>
      <c r="E351" s="43"/>
      <c r="F351" s="41">
        <v>18</v>
      </c>
      <c r="G351" s="21">
        <f t="shared" si="29"/>
        <v>3.13</v>
      </c>
      <c r="H351" s="41"/>
      <c r="I351" s="41"/>
      <c r="J351" s="41"/>
      <c r="K351" s="41"/>
      <c r="L351" s="41"/>
      <c r="M351" s="41"/>
      <c r="N351" s="41"/>
      <c r="O351" s="41"/>
      <c r="P351" s="41"/>
      <c r="Q351" s="41">
        <v>0.64</v>
      </c>
      <c r="R351" s="3"/>
    </row>
    <row r="352" s="13" customFormat="1" spans="1:18">
      <c r="A352" s="41">
        <v>112019</v>
      </c>
      <c r="B352" s="41">
        <v>112</v>
      </c>
      <c r="C352" s="41"/>
      <c r="D352" s="41"/>
      <c r="E352" s="43"/>
      <c r="F352" s="41">
        <v>19</v>
      </c>
      <c r="G352" s="21">
        <f t="shared" si="29"/>
        <v>3.39</v>
      </c>
      <c r="H352" s="41"/>
      <c r="I352" s="41"/>
      <c r="J352" s="41"/>
      <c r="K352" s="41"/>
      <c r="L352" s="41"/>
      <c r="M352" s="41"/>
      <c r="N352" s="41"/>
      <c r="O352" s="41"/>
      <c r="P352" s="41"/>
      <c r="Q352" s="41">
        <v>0.66</v>
      </c>
      <c r="R352" s="3"/>
    </row>
    <row r="353" s="13" customFormat="1" spans="1:18">
      <c r="A353" s="41">
        <v>112020</v>
      </c>
      <c r="B353" s="41">
        <v>112</v>
      </c>
      <c r="C353" s="41"/>
      <c r="D353" s="41"/>
      <c r="E353" s="43"/>
      <c r="F353" s="41">
        <v>20</v>
      </c>
      <c r="G353" s="21">
        <f t="shared" si="29"/>
        <v>3.67</v>
      </c>
      <c r="H353" s="41"/>
      <c r="I353" s="41"/>
      <c r="J353" s="41"/>
      <c r="K353" s="41"/>
      <c r="L353" s="41"/>
      <c r="M353" s="41"/>
      <c r="N353" s="41"/>
      <c r="O353" s="41"/>
      <c r="P353" s="41"/>
      <c r="Q353" s="41">
        <v>0.68</v>
      </c>
      <c r="R353" s="3"/>
    </row>
    <row r="354" s="1" customFormat="1" spans="1:18">
      <c r="A354" s="41">
        <v>112021</v>
      </c>
      <c r="B354" s="41">
        <v>112</v>
      </c>
      <c r="C354" s="16"/>
      <c r="D354" s="16"/>
      <c r="E354" s="16"/>
      <c r="F354" s="41">
        <v>21</v>
      </c>
      <c r="G354" s="21">
        <f t="shared" ref="G354:G363" si="30">ROUNDUP(G353*1.08,2)</f>
        <v>3.97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41">
        <v>1.68</v>
      </c>
      <c r="R354" s="3"/>
    </row>
    <row r="355" s="1" customFormat="1" spans="1:18">
      <c r="A355" s="41">
        <v>112022</v>
      </c>
      <c r="B355" s="41">
        <v>112</v>
      </c>
      <c r="C355" s="16"/>
      <c r="D355" s="16"/>
      <c r="E355" s="16"/>
      <c r="F355" s="41">
        <v>22</v>
      </c>
      <c r="G355" s="21">
        <f t="shared" si="30"/>
        <v>4.29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41">
        <v>2.68</v>
      </c>
      <c r="R355" s="3"/>
    </row>
    <row r="356" s="1" customFormat="1" spans="1:18">
      <c r="A356" s="41">
        <v>112023</v>
      </c>
      <c r="B356" s="41">
        <v>112</v>
      </c>
      <c r="C356" s="16"/>
      <c r="D356" s="16"/>
      <c r="E356" s="16"/>
      <c r="F356" s="41">
        <v>23</v>
      </c>
      <c r="G356" s="21">
        <f t="shared" si="30"/>
        <v>4.64</v>
      </c>
      <c r="H356" s="16"/>
      <c r="I356" s="16"/>
      <c r="J356" s="16"/>
      <c r="K356" s="16"/>
      <c r="L356" s="16"/>
      <c r="M356" s="16"/>
      <c r="N356" s="16"/>
      <c r="O356" s="16"/>
      <c r="P356" s="16"/>
      <c r="Q356" s="41">
        <v>3.68</v>
      </c>
      <c r="R356" s="3"/>
    </row>
    <row r="357" s="1" customFormat="1" spans="1:18">
      <c r="A357" s="41">
        <v>112024</v>
      </c>
      <c r="B357" s="41">
        <v>112</v>
      </c>
      <c r="C357" s="16"/>
      <c r="D357" s="16"/>
      <c r="E357" s="16"/>
      <c r="F357" s="41">
        <v>24</v>
      </c>
      <c r="G357" s="21">
        <f t="shared" si="30"/>
        <v>5.02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41">
        <v>4.68</v>
      </c>
      <c r="R357" s="3"/>
    </row>
    <row r="358" s="1" customFormat="1" spans="1:18">
      <c r="A358" s="41">
        <v>112025</v>
      </c>
      <c r="B358" s="41">
        <v>112</v>
      </c>
      <c r="C358" s="16"/>
      <c r="D358" s="16"/>
      <c r="E358" s="16"/>
      <c r="F358" s="41">
        <v>25</v>
      </c>
      <c r="G358" s="21">
        <f t="shared" si="30"/>
        <v>5.43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41">
        <v>5.68</v>
      </c>
      <c r="R358" s="3"/>
    </row>
    <row r="359" s="1" customFormat="1" spans="1:18">
      <c r="A359" s="41">
        <v>112026</v>
      </c>
      <c r="B359" s="41">
        <v>112</v>
      </c>
      <c r="C359" s="16"/>
      <c r="D359" s="16"/>
      <c r="E359" s="16"/>
      <c r="F359" s="41">
        <v>26</v>
      </c>
      <c r="G359" s="21">
        <f t="shared" si="30"/>
        <v>5.87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41">
        <v>6.68</v>
      </c>
      <c r="R359" s="3"/>
    </row>
    <row r="360" s="1" customFormat="1" spans="1:18">
      <c r="A360" s="41">
        <v>112027</v>
      </c>
      <c r="B360" s="41">
        <v>112</v>
      </c>
      <c r="C360" s="16"/>
      <c r="D360" s="16"/>
      <c r="E360" s="16"/>
      <c r="F360" s="41">
        <v>27</v>
      </c>
      <c r="G360" s="21">
        <f t="shared" si="30"/>
        <v>6.34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41">
        <v>7.68</v>
      </c>
      <c r="R360" s="3"/>
    </row>
    <row r="361" s="1" customFormat="1" spans="1:18">
      <c r="A361" s="41">
        <v>112028</v>
      </c>
      <c r="B361" s="41">
        <v>112</v>
      </c>
      <c r="C361" s="16"/>
      <c r="D361" s="16"/>
      <c r="E361" s="16"/>
      <c r="F361" s="41">
        <v>28</v>
      </c>
      <c r="G361" s="21">
        <f t="shared" si="30"/>
        <v>6.85</v>
      </c>
      <c r="H361" s="16"/>
      <c r="I361" s="16"/>
      <c r="J361" s="16"/>
      <c r="K361" s="16"/>
      <c r="L361" s="16"/>
      <c r="M361" s="16"/>
      <c r="N361" s="16"/>
      <c r="O361" s="16"/>
      <c r="P361" s="16"/>
      <c r="Q361" s="41">
        <v>8.68</v>
      </c>
      <c r="R361" s="3"/>
    </row>
    <row r="362" s="1" customFormat="1" spans="1:18">
      <c r="A362" s="41">
        <v>112029</v>
      </c>
      <c r="B362" s="41">
        <v>112</v>
      </c>
      <c r="C362" s="16"/>
      <c r="D362" s="16"/>
      <c r="E362" s="16"/>
      <c r="F362" s="41">
        <v>29</v>
      </c>
      <c r="G362" s="21">
        <f t="shared" si="30"/>
        <v>7.4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41">
        <v>9.68</v>
      </c>
      <c r="R362" s="3"/>
    </row>
    <row r="363" s="1" customFormat="1" spans="1:18">
      <c r="A363" s="41">
        <v>112030</v>
      </c>
      <c r="B363" s="41">
        <v>112</v>
      </c>
      <c r="C363" s="16"/>
      <c r="D363" s="16"/>
      <c r="E363" s="16"/>
      <c r="F363" s="41">
        <v>30</v>
      </c>
      <c r="G363" s="21">
        <f t="shared" si="30"/>
        <v>8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41">
        <v>10.68</v>
      </c>
      <c r="R363" s="3"/>
    </row>
    <row r="364" s="1" customFormat="1" spans="1:18">
      <c r="A364" s="16">
        <v>113001</v>
      </c>
      <c r="B364" s="16">
        <v>113</v>
      </c>
      <c r="C364" s="16" t="s">
        <v>71</v>
      </c>
      <c r="D364" s="16" t="s">
        <v>72</v>
      </c>
      <c r="E364" s="16" t="s">
        <v>73</v>
      </c>
      <c r="F364" s="16">
        <v>1</v>
      </c>
      <c r="G364" s="21">
        <v>0.4</v>
      </c>
      <c r="H364" s="16">
        <v>7</v>
      </c>
      <c r="I364" s="16">
        <v>8</v>
      </c>
      <c r="J364" s="16">
        <v>900</v>
      </c>
      <c r="K364" s="16"/>
      <c r="L364" s="16"/>
      <c r="M364" s="16">
        <v>10</v>
      </c>
      <c r="N364" s="16"/>
      <c r="O364" s="16"/>
      <c r="P364" s="16"/>
      <c r="Q364" s="16"/>
      <c r="R364" s="3"/>
    </row>
    <row r="365" s="1" customFormat="1" spans="1:18">
      <c r="A365" s="16">
        <v>113002</v>
      </c>
      <c r="B365" s="16">
        <v>113</v>
      </c>
      <c r="C365" s="16"/>
      <c r="D365" s="16"/>
      <c r="E365" s="16"/>
      <c r="F365" s="16">
        <v>2</v>
      </c>
      <c r="G365" s="21">
        <f>ROUNDUP(G364*1.08,2)</f>
        <v>0.44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3"/>
    </row>
    <row r="366" s="1" customFormat="1" spans="1:18">
      <c r="A366" s="16">
        <v>113003</v>
      </c>
      <c r="B366" s="16">
        <v>113</v>
      </c>
      <c r="C366" s="16"/>
      <c r="D366" s="16"/>
      <c r="E366" s="16"/>
      <c r="F366" s="16">
        <v>3</v>
      </c>
      <c r="G366" s="21">
        <f t="shared" ref="G366:G383" si="31">ROUNDUP(G365*1.08,2)</f>
        <v>0.48</v>
      </c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3"/>
    </row>
    <row r="367" s="1" customFormat="1" spans="1:18">
      <c r="A367" s="16">
        <v>113004</v>
      </c>
      <c r="B367" s="16">
        <v>113</v>
      </c>
      <c r="C367" s="16"/>
      <c r="D367" s="16"/>
      <c r="E367" s="16"/>
      <c r="F367" s="16">
        <v>4</v>
      </c>
      <c r="G367" s="21">
        <f t="shared" si="31"/>
        <v>0.52</v>
      </c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3"/>
    </row>
    <row r="368" s="1" customFormat="1" spans="1:18">
      <c r="A368" s="16">
        <v>113005</v>
      </c>
      <c r="B368" s="16">
        <v>113</v>
      </c>
      <c r="C368" s="16"/>
      <c r="D368" s="16"/>
      <c r="E368" s="16"/>
      <c r="F368" s="16">
        <v>5</v>
      </c>
      <c r="G368" s="21">
        <f t="shared" si="31"/>
        <v>0.57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3"/>
    </row>
    <row r="369" s="1" customFormat="1" spans="1:18">
      <c r="A369" s="16">
        <v>113006</v>
      </c>
      <c r="B369" s="16">
        <v>113</v>
      </c>
      <c r="C369" s="16"/>
      <c r="D369" s="16"/>
      <c r="E369" s="16"/>
      <c r="F369" s="16">
        <v>6</v>
      </c>
      <c r="G369" s="21">
        <f t="shared" si="31"/>
        <v>0.62</v>
      </c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3"/>
    </row>
    <row r="370" s="1" customFormat="1" spans="1:18">
      <c r="A370" s="16">
        <v>113007</v>
      </c>
      <c r="B370" s="16">
        <v>113</v>
      </c>
      <c r="C370" s="16"/>
      <c r="D370" s="16"/>
      <c r="E370" s="16"/>
      <c r="F370" s="16">
        <v>7</v>
      </c>
      <c r="G370" s="21">
        <f t="shared" si="31"/>
        <v>0.67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3"/>
    </row>
    <row r="371" s="1" customFormat="1" spans="1:18">
      <c r="A371" s="16">
        <v>113008</v>
      </c>
      <c r="B371" s="16">
        <v>113</v>
      </c>
      <c r="C371" s="16"/>
      <c r="D371" s="16"/>
      <c r="E371" s="16"/>
      <c r="F371" s="16">
        <v>8</v>
      </c>
      <c r="G371" s="21">
        <f t="shared" si="31"/>
        <v>0.73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3"/>
    </row>
    <row r="372" s="1" customFormat="1" spans="1:18">
      <c r="A372" s="16">
        <v>113009</v>
      </c>
      <c r="B372" s="16">
        <v>113</v>
      </c>
      <c r="C372" s="16"/>
      <c r="D372" s="16"/>
      <c r="E372" s="16"/>
      <c r="F372" s="16">
        <v>9</v>
      </c>
      <c r="G372" s="21">
        <f t="shared" si="31"/>
        <v>0.79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3"/>
    </row>
    <row r="373" s="1" customFormat="1" spans="1:18">
      <c r="A373" s="16">
        <v>113010</v>
      </c>
      <c r="B373" s="16">
        <v>113</v>
      </c>
      <c r="C373" s="16"/>
      <c r="D373" s="16"/>
      <c r="E373" s="16"/>
      <c r="F373" s="16">
        <v>10</v>
      </c>
      <c r="G373" s="21">
        <f t="shared" si="31"/>
        <v>0.86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3"/>
    </row>
    <row r="374" s="1" customFormat="1" spans="1:18">
      <c r="A374" s="16">
        <v>113011</v>
      </c>
      <c r="B374" s="16">
        <v>113</v>
      </c>
      <c r="C374" s="16"/>
      <c r="D374" s="16"/>
      <c r="E374" s="16"/>
      <c r="F374" s="16">
        <v>11</v>
      </c>
      <c r="G374" s="21">
        <f t="shared" si="31"/>
        <v>0.93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3"/>
    </row>
    <row r="375" s="1" customFormat="1" spans="1:18">
      <c r="A375" s="16">
        <v>113012</v>
      </c>
      <c r="B375" s="16">
        <v>113</v>
      </c>
      <c r="C375" s="16"/>
      <c r="D375" s="16"/>
      <c r="E375" s="16"/>
      <c r="F375" s="16">
        <v>12</v>
      </c>
      <c r="G375" s="21">
        <f t="shared" si="31"/>
        <v>1.01</v>
      </c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3"/>
    </row>
    <row r="376" s="1" customFormat="1" spans="1:18">
      <c r="A376" s="16">
        <v>113013</v>
      </c>
      <c r="B376" s="16">
        <v>113</v>
      </c>
      <c r="C376" s="16"/>
      <c r="D376" s="16"/>
      <c r="E376" s="16"/>
      <c r="F376" s="16">
        <v>13</v>
      </c>
      <c r="G376" s="21">
        <f t="shared" si="31"/>
        <v>1.1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3"/>
    </row>
    <row r="377" s="1" customFormat="1" spans="1:18">
      <c r="A377" s="16">
        <v>113014</v>
      </c>
      <c r="B377" s="16">
        <v>113</v>
      </c>
      <c r="C377" s="16"/>
      <c r="D377" s="16"/>
      <c r="E377" s="16"/>
      <c r="F377" s="16">
        <v>14</v>
      </c>
      <c r="G377" s="21">
        <f t="shared" si="31"/>
        <v>1.19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3"/>
    </row>
    <row r="378" s="1" customFormat="1" spans="1:18">
      <c r="A378" s="16">
        <v>113015</v>
      </c>
      <c r="B378" s="16">
        <v>113</v>
      </c>
      <c r="C378" s="16"/>
      <c r="D378" s="16"/>
      <c r="E378" s="16"/>
      <c r="F378" s="16">
        <v>15</v>
      </c>
      <c r="G378" s="21">
        <f t="shared" si="31"/>
        <v>1.29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3"/>
    </row>
    <row r="379" s="1" customFormat="1" spans="1:18">
      <c r="A379" s="16">
        <v>113016</v>
      </c>
      <c r="B379" s="16">
        <v>113</v>
      </c>
      <c r="C379" s="16"/>
      <c r="D379" s="16"/>
      <c r="E379" s="16"/>
      <c r="F379" s="16">
        <v>16</v>
      </c>
      <c r="G379" s="21">
        <f t="shared" si="31"/>
        <v>1.4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3"/>
    </row>
    <row r="380" s="1" customFormat="1" spans="1:18">
      <c r="A380" s="16">
        <v>113017</v>
      </c>
      <c r="B380" s="16">
        <v>113</v>
      </c>
      <c r="C380" s="16"/>
      <c r="D380" s="16"/>
      <c r="E380" s="16"/>
      <c r="F380" s="16">
        <v>17</v>
      </c>
      <c r="G380" s="21">
        <f t="shared" si="31"/>
        <v>1.52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3"/>
    </row>
    <row r="381" s="1" customFormat="1" spans="1:18">
      <c r="A381" s="16">
        <v>113018</v>
      </c>
      <c r="B381" s="16">
        <v>113</v>
      </c>
      <c r="C381" s="16"/>
      <c r="D381" s="16"/>
      <c r="E381" s="16"/>
      <c r="F381" s="16">
        <v>18</v>
      </c>
      <c r="G381" s="21">
        <f t="shared" si="31"/>
        <v>1.65</v>
      </c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3"/>
    </row>
    <row r="382" s="1" customFormat="1" spans="1:18">
      <c r="A382" s="16">
        <v>113019</v>
      </c>
      <c r="B382" s="16">
        <v>113</v>
      </c>
      <c r="C382" s="16"/>
      <c r="D382" s="16"/>
      <c r="E382" s="16"/>
      <c r="F382" s="16">
        <v>19</v>
      </c>
      <c r="G382" s="21">
        <f t="shared" si="31"/>
        <v>1.79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3"/>
    </row>
    <row r="383" s="1" customFormat="1" spans="1:18">
      <c r="A383" s="16">
        <v>113020</v>
      </c>
      <c r="B383" s="16">
        <v>113</v>
      </c>
      <c r="C383" s="16"/>
      <c r="D383" s="16"/>
      <c r="E383" s="16"/>
      <c r="F383" s="16">
        <v>20</v>
      </c>
      <c r="G383" s="21">
        <f t="shared" si="31"/>
        <v>1.94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3"/>
    </row>
    <row r="384" s="14" customFormat="1" spans="1:18">
      <c r="A384" s="16">
        <v>113021</v>
      </c>
      <c r="B384" s="16">
        <v>113</v>
      </c>
      <c r="C384" s="44"/>
      <c r="D384" s="44"/>
      <c r="E384" s="44"/>
      <c r="F384" s="16">
        <v>21</v>
      </c>
      <c r="G384" s="21">
        <f t="shared" ref="G384:G393" si="32">ROUNDUP(G383*1.08,2)</f>
        <v>2.1</v>
      </c>
      <c r="H384" s="45"/>
      <c r="I384" s="45"/>
      <c r="J384" s="45"/>
      <c r="K384" s="46"/>
      <c r="L384" s="46"/>
      <c r="M384" s="46"/>
      <c r="N384" s="46"/>
      <c r="O384" s="46"/>
      <c r="P384" s="45"/>
      <c r="Q384" s="45"/>
      <c r="R384" s="3"/>
    </row>
    <row r="385" s="14" customFormat="1" spans="1:18">
      <c r="A385" s="16">
        <v>113022</v>
      </c>
      <c r="B385" s="16">
        <v>113</v>
      </c>
      <c r="C385" s="44"/>
      <c r="D385" s="44"/>
      <c r="E385" s="44"/>
      <c r="F385" s="16">
        <v>22</v>
      </c>
      <c r="G385" s="21">
        <f t="shared" si="32"/>
        <v>2.27</v>
      </c>
      <c r="H385" s="45"/>
      <c r="I385" s="45"/>
      <c r="J385" s="45"/>
      <c r="K385" s="46"/>
      <c r="L385" s="46"/>
      <c r="M385" s="46"/>
      <c r="N385" s="46"/>
      <c r="O385" s="46"/>
      <c r="P385" s="45"/>
      <c r="Q385" s="45"/>
      <c r="R385" s="3"/>
    </row>
    <row r="386" s="14" customFormat="1" spans="1:18">
      <c r="A386" s="16">
        <v>113023</v>
      </c>
      <c r="B386" s="16">
        <v>113</v>
      </c>
      <c r="C386" s="44"/>
      <c r="D386" s="44"/>
      <c r="E386" s="44"/>
      <c r="F386" s="16">
        <v>23</v>
      </c>
      <c r="G386" s="21">
        <f t="shared" si="32"/>
        <v>2.46</v>
      </c>
      <c r="H386" s="45"/>
      <c r="I386" s="45"/>
      <c r="J386" s="45"/>
      <c r="K386" s="46"/>
      <c r="L386" s="46"/>
      <c r="M386" s="46"/>
      <c r="N386" s="46"/>
      <c r="O386" s="46"/>
      <c r="P386" s="45"/>
      <c r="Q386" s="45"/>
      <c r="R386" s="3"/>
    </row>
    <row r="387" s="14" customFormat="1" spans="1:18">
      <c r="A387" s="16">
        <v>113024</v>
      </c>
      <c r="B387" s="16">
        <v>113</v>
      </c>
      <c r="C387" s="44"/>
      <c r="D387" s="44"/>
      <c r="E387" s="44"/>
      <c r="F387" s="16">
        <v>24</v>
      </c>
      <c r="G387" s="21">
        <f t="shared" si="32"/>
        <v>2.66</v>
      </c>
      <c r="H387" s="45"/>
      <c r="I387" s="45"/>
      <c r="J387" s="45"/>
      <c r="K387" s="46"/>
      <c r="L387" s="46"/>
      <c r="M387" s="46"/>
      <c r="N387" s="46"/>
      <c r="O387" s="46"/>
      <c r="P387" s="45"/>
      <c r="Q387" s="45"/>
      <c r="R387" s="3"/>
    </row>
    <row r="388" s="14" customFormat="1" spans="1:18">
      <c r="A388" s="16">
        <v>113025</v>
      </c>
      <c r="B388" s="16">
        <v>113</v>
      </c>
      <c r="C388" s="44"/>
      <c r="D388" s="44"/>
      <c r="E388" s="44"/>
      <c r="F388" s="16">
        <v>25</v>
      </c>
      <c r="G388" s="21">
        <f t="shared" si="32"/>
        <v>2.88</v>
      </c>
      <c r="H388" s="45"/>
      <c r="I388" s="45"/>
      <c r="J388" s="45"/>
      <c r="K388" s="46"/>
      <c r="L388" s="46"/>
      <c r="M388" s="46"/>
      <c r="N388" s="46"/>
      <c r="O388" s="46"/>
      <c r="P388" s="45"/>
      <c r="Q388" s="45"/>
      <c r="R388" s="3"/>
    </row>
    <row r="389" s="14" customFormat="1" spans="1:18">
      <c r="A389" s="16">
        <v>113026</v>
      </c>
      <c r="B389" s="16">
        <v>113</v>
      </c>
      <c r="C389" s="44"/>
      <c r="D389" s="44"/>
      <c r="E389" s="44"/>
      <c r="F389" s="16">
        <v>26</v>
      </c>
      <c r="G389" s="21">
        <f t="shared" si="32"/>
        <v>3.12</v>
      </c>
      <c r="H389" s="45"/>
      <c r="I389" s="45"/>
      <c r="J389" s="45"/>
      <c r="K389" s="46"/>
      <c r="L389" s="46"/>
      <c r="M389" s="46"/>
      <c r="N389" s="46"/>
      <c r="O389" s="46"/>
      <c r="P389" s="45"/>
      <c r="Q389" s="45"/>
      <c r="R389" s="3"/>
    </row>
    <row r="390" s="14" customFormat="1" spans="1:18">
      <c r="A390" s="16">
        <v>113027</v>
      </c>
      <c r="B390" s="16">
        <v>113</v>
      </c>
      <c r="C390" s="44"/>
      <c r="D390" s="44"/>
      <c r="E390" s="44"/>
      <c r="F390" s="16">
        <v>27</v>
      </c>
      <c r="G390" s="21">
        <f t="shared" si="32"/>
        <v>3.37</v>
      </c>
      <c r="H390" s="45"/>
      <c r="I390" s="45"/>
      <c r="J390" s="45"/>
      <c r="K390" s="46"/>
      <c r="L390" s="46"/>
      <c r="M390" s="46"/>
      <c r="N390" s="46"/>
      <c r="O390" s="46"/>
      <c r="P390" s="45"/>
      <c r="Q390" s="45"/>
      <c r="R390" s="3"/>
    </row>
    <row r="391" s="14" customFormat="1" spans="1:18">
      <c r="A391" s="16">
        <v>113028</v>
      </c>
      <c r="B391" s="16">
        <v>113</v>
      </c>
      <c r="C391" s="44"/>
      <c r="D391" s="44"/>
      <c r="E391" s="44"/>
      <c r="F391" s="16">
        <v>28</v>
      </c>
      <c r="G391" s="21">
        <f t="shared" si="32"/>
        <v>3.64</v>
      </c>
      <c r="H391" s="45"/>
      <c r="I391" s="45"/>
      <c r="J391" s="45"/>
      <c r="K391" s="46"/>
      <c r="L391" s="46"/>
      <c r="M391" s="46"/>
      <c r="N391" s="46"/>
      <c r="O391" s="46"/>
      <c r="P391" s="45"/>
      <c r="Q391" s="45"/>
      <c r="R391" s="3"/>
    </row>
    <row r="392" s="14" customFormat="1" spans="1:18">
      <c r="A392" s="16">
        <v>113029</v>
      </c>
      <c r="B392" s="16">
        <v>113</v>
      </c>
      <c r="C392" s="44"/>
      <c r="D392" s="44"/>
      <c r="E392" s="44"/>
      <c r="F392" s="16">
        <v>29</v>
      </c>
      <c r="G392" s="21">
        <f t="shared" si="32"/>
        <v>3.94</v>
      </c>
      <c r="H392" s="45"/>
      <c r="I392" s="45"/>
      <c r="J392" s="45"/>
      <c r="K392" s="46"/>
      <c r="L392" s="46"/>
      <c r="M392" s="46"/>
      <c r="N392" s="46"/>
      <c r="O392" s="46"/>
      <c r="P392" s="45"/>
      <c r="Q392" s="45"/>
      <c r="R392" s="3"/>
    </row>
    <row r="393" s="14" customFormat="1" spans="1:18">
      <c r="A393" s="16">
        <v>113030</v>
      </c>
      <c r="B393" s="16">
        <v>113</v>
      </c>
      <c r="C393" s="44"/>
      <c r="D393" s="44"/>
      <c r="E393" s="44"/>
      <c r="F393" s="16">
        <v>30</v>
      </c>
      <c r="G393" s="21">
        <f t="shared" si="32"/>
        <v>4.26</v>
      </c>
      <c r="H393" s="45"/>
      <c r="I393" s="45"/>
      <c r="J393" s="45"/>
      <c r="K393" s="46"/>
      <c r="L393" s="46"/>
      <c r="M393" s="46"/>
      <c r="N393" s="46"/>
      <c r="O393" s="46"/>
      <c r="P393" s="45"/>
      <c r="Q393" s="45"/>
      <c r="R393" s="3"/>
    </row>
    <row r="394" s="14" customFormat="1" spans="1:18">
      <c r="A394" s="45">
        <v>114001</v>
      </c>
      <c r="B394" s="45">
        <v>114</v>
      </c>
      <c r="C394" s="47" t="s">
        <v>74</v>
      </c>
      <c r="D394" s="47" t="s">
        <v>52</v>
      </c>
      <c r="E394" s="47" t="s">
        <v>75</v>
      </c>
      <c r="F394" s="45">
        <v>1</v>
      </c>
      <c r="G394" s="21"/>
      <c r="H394" s="45">
        <v>7</v>
      </c>
      <c r="I394" s="45">
        <v>7</v>
      </c>
      <c r="J394" s="45">
        <v>800</v>
      </c>
      <c r="P394" s="45">
        <v>100</v>
      </c>
      <c r="Q394" s="45">
        <v>0.75</v>
      </c>
      <c r="R394" s="3"/>
    </row>
    <row r="395" s="14" customFormat="1" spans="1:18">
      <c r="A395" s="45">
        <v>114002</v>
      </c>
      <c r="B395" s="45">
        <v>114</v>
      </c>
      <c r="C395" s="47"/>
      <c r="D395" s="47"/>
      <c r="E395" s="47"/>
      <c r="F395" s="45">
        <v>2</v>
      </c>
      <c r="G395" s="21"/>
      <c r="H395" s="45"/>
      <c r="I395" s="45"/>
      <c r="J395" s="45"/>
      <c r="P395" s="45"/>
      <c r="Q395" s="21">
        <f>ROUNDUP(Q394*1.08,2)</f>
        <v>0.81</v>
      </c>
      <c r="R395" s="3"/>
    </row>
    <row r="396" s="14" customFormat="1" spans="1:18">
      <c r="A396" s="45">
        <v>114003</v>
      </c>
      <c r="B396" s="45">
        <v>114</v>
      </c>
      <c r="C396" s="47"/>
      <c r="D396" s="47"/>
      <c r="E396" s="47"/>
      <c r="F396" s="45">
        <v>3</v>
      </c>
      <c r="G396" s="21"/>
      <c r="H396" s="45"/>
      <c r="I396" s="45"/>
      <c r="J396" s="45"/>
      <c r="P396" s="45"/>
      <c r="Q396" s="21">
        <f t="shared" ref="Q396:Q413" si="33">ROUNDUP(Q395*1.08,2)</f>
        <v>0.88</v>
      </c>
      <c r="R396" s="3"/>
    </row>
    <row r="397" s="14" customFormat="1" spans="1:18">
      <c r="A397" s="45">
        <v>114004</v>
      </c>
      <c r="B397" s="45">
        <v>114</v>
      </c>
      <c r="C397" s="47"/>
      <c r="D397" s="47"/>
      <c r="E397" s="47"/>
      <c r="F397" s="45">
        <v>4</v>
      </c>
      <c r="G397" s="21"/>
      <c r="H397" s="45"/>
      <c r="I397" s="45"/>
      <c r="J397" s="45"/>
      <c r="P397" s="45"/>
      <c r="Q397" s="21">
        <f t="shared" si="33"/>
        <v>0.96</v>
      </c>
      <c r="R397" s="3"/>
    </row>
    <row r="398" s="14" customFormat="1" spans="1:18">
      <c r="A398" s="45">
        <v>114005</v>
      </c>
      <c r="B398" s="45">
        <v>114</v>
      </c>
      <c r="C398" s="47"/>
      <c r="D398" s="47"/>
      <c r="E398" s="47"/>
      <c r="F398" s="45">
        <v>5</v>
      </c>
      <c r="G398" s="21"/>
      <c r="H398" s="45"/>
      <c r="I398" s="45"/>
      <c r="J398" s="45"/>
      <c r="P398" s="45"/>
      <c r="Q398" s="21">
        <f t="shared" si="33"/>
        <v>1.04</v>
      </c>
      <c r="R398" s="3"/>
    </row>
    <row r="399" s="14" customFormat="1" spans="1:18">
      <c r="A399" s="45">
        <v>114006</v>
      </c>
      <c r="B399" s="45">
        <v>114</v>
      </c>
      <c r="C399" s="47"/>
      <c r="D399" s="47"/>
      <c r="E399" s="47"/>
      <c r="F399" s="45">
        <v>6</v>
      </c>
      <c r="G399" s="21"/>
      <c r="H399" s="45"/>
      <c r="I399" s="45"/>
      <c r="J399" s="45"/>
      <c r="P399" s="45"/>
      <c r="Q399" s="21">
        <f t="shared" si="33"/>
        <v>1.13</v>
      </c>
      <c r="R399" s="3"/>
    </row>
    <row r="400" s="14" customFormat="1" spans="1:18">
      <c r="A400" s="45">
        <v>114007</v>
      </c>
      <c r="B400" s="45">
        <v>114</v>
      </c>
      <c r="C400" s="47"/>
      <c r="D400" s="47"/>
      <c r="E400" s="47"/>
      <c r="F400" s="45">
        <v>7</v>
      </c>
      <c r="G400" s="21"/>
      <c r="H400" s="45"/>
      <c r="I400" s="45"/>
      <c r="J400" s="45"/>
      <c r="P400" s="45"/>
      <c r="Q400" s="21">
        <f t="shared" si="33"/>
        <v>1.23</v>
      </c>
      <c r="R400" s="3"/>
    </row>
    <row r="401" s="14" customFormat="1" spans="1:18">
      <c r="A401" s="45">
        <v>114008</v>
      </c>
      <c r="B401" s="45">
        <v>114</v>
      </c>
      <c r="C401" s="47"/>
      <c r="D401" s="47"/>
      <c r="E401" s="47"/>
      <c r="F401" s="45">
        <v>8</v>
      </c>
      <c r="G401" s="21"/>
      <c r="H401" s="45"/>
      <c r="I401" s="45"/>
      <c r="J401" s="45"/>
      <c r="P401" s="45"/>
      <c r="Q401" s="21">
        <f t="shared" si="33"/>
        <v>1.33</v>
      </c>
      <c r="R401" s="3"/>
    </row>
    <row r="402" s="14" customFormat="1" spans="1:18">
      <c r="A402" s="45">
        <v>114009</v>
      </c>
      <c r="B402" s="45">
        <v>114</v>
      </c>
      <c r="C402" s="47"/>
      <c r="D402" s="47"/>
      <c r="E402" s="47"/>
      <c r="F402" s="45">
        <v>9</v>
      </c>
      <c r="G402" s="21"/>
      <c r="H402" s="45"/>
      <c r="I402" s="45"/>
      <c r="J402" s="45"/>
      <c r="P402" s="45"/>
      <c r="Q402" s="21">
        <f t="shared" si="33"/>
        <v>1.44</v>
      </c>
      <c r="R402" s="3"/>
    </row>
    <row r="403" s="14" customFormat="1" spans="1:18">
      <c r="A403" s="45">
        <v>114010</v>
      </c>
      <c r="B403" s="45">
        <v>114</v>
      </c>
      <c r="C403" s="47"/>
      <c r="D403" s="47"/>
      <c r="E403" s="47"/>
      <c r="F403" s="45">
        <v>10</v>
      </c>
      <c r="G403" s="21"/>
      <c r="H403" s="45"/>
      <c r="I403" s="45"/>
      <c r="J403" s="45"/>
      <c r="P403" s="45"/>
      <c r="Q403" s="21">
        <f t="shared" si="33"/>
        <v>1.56</v>
      </c>
      <c r="R403" s="3"/>
    </row>
    <row r="404" s="14" customFormat="1" spans="1:18">
      <c r="A404" s="45">
        <v>114011</v>
      </c>
      <c r="B404" s="45">
        <v>114</v>
      </c>
      <c r="C404" s="47"/>
      <c r="D404" s="47"/>
      <c r="E404" s="47"/>
      <c r="F404" s="45">
        <v>11</v>
      </c>
      <c r="G404" s="21"/>
      <c r="H404" s="45"/>
      <c r="I404" s="45"/>
      <c r="J404" s="45"/>
      <c r="P404" s="45"/>
      <c r="Q404" s="21">
        <f t="shared" si="33"/>
        <v>1.69</v>
      </c>
      <c r="R404" s="3"/>
    </row>
    <row r="405" s="14" customFormat="1" spans="1:18">
      <c r="A405" s="45">
        <v>114012</v>
      </c>
      <c r="B405" s="45">
        <v>114</v>
      </c>
      <c r="C405" s="47"/>
      <c r="D405" s="47"/>
      <c r="E405" s="47"/>
      <c r="F405" s="45">
        <v>12</v>
      </c>
      <c r="G405" s="21"/>
      <c r="H405" s="45"/>
      <c r="I405" s="45"/>
      <c r="J405" s="45"/>
      <c r="P405" s="45"/>
      <c r="Q405" s="21">
        <f t="shared" si="33"/>
        <v>1.83</v>
      </c>
      <c r="R405" s="3"/>
    </row>
    <row r="406" s="14" customFormat="1" spans="1:18">
      <c r="A406" s="45">
        <v>114013</v>
      </c>
      <c r="B406" s="45">
        <v>114</v>
      </c>
      <c r="C406" s="47"/>
      <c r="D406" s="47"/>
      <c r="E406" s="47"/>
      <c r="F406" s="45">
        <v>13</v>
      </c>
      <c r="G406" s="21"/>
      <c r="H406" s="45"/>
      <c r="I406" s="45"/>
      <c r="J406" s="45"/>
      <c r="P406" s="45"/>
      <c r="Q406" s="21">
        <f t="shared" si="33"/>
        <v>1.98</v>
      </c>
      <c r="R406" s="3"/>
    </row>
    <row r="407" s="14" customFormat="1" spans="1:18">
      <c r="A407" s="45">
        <v>114014</v>
      </c>
      <c r="B407" s="45">
        <v>114</v>
      </c>
      <c r="C407" s="47"/>
      <c r="D407" s="47"/>
      <c r="E407" s="47"/>
      <c r="F407" s="45">
        <v>14</v>
      </c>
      <c r="G407" s="21"/>
      <c r="H407" s="45"/>
      <c r="I407" s="45"/>
      <c r="J407" s="45"/>
      <c r="P407" s="45"/>
      <c r="Q407" s="21">
        <f t="shared" si="33"/>
        <v>2.14</v>
      </c>
      <c r="R407" s="3"/>
    </row>
    <row r="408" s="14" customFormat="1" spans="1:18">
      <c r="A408" s="45">
        <v>114015</v>
      </c>
      <c r="B408" s="45">
        <v>114</v>
      </c>
      <c r="C408" s="47"/>
      <c r="D408" s="47"/>
      <c r="E408" s="47"/>
      <c r="F408" s="45">
        <v>15</v>
      </c>
      <c r="G408" s="21"/>
      <c r="H408" s="45"/>
      <c r="I408" s="45"/>
      <c r="J408" s="45"/>
      <c r="P408" s="45"/>
      <c r="Q408" s="21">
        <f t="shared" si="33"/>
        <v>2.32</v>
      </c>
      <c r="R408" s="3"/>
    </row>
    <row r="409" s="14" customFormat="1" spans="1:18">
      <c r="A409" s="45">
        <v>114016</v>
      </c>
      <c r="B409" s="45">
        <v>114</v>
      </c>
      <c r="C409" s="47"/>
      <c r="D409" s="47"/>
      <c r="E409" s="47"/>
      <c r="F409" s="45">
        <v>16</v>
      </c>
      <c r="G409" s="21"/>
      <c r="H409" s="45"/>
      <c r="I409" s="45"/>
      <c r="J409" s="45"/>
      <c r="P409" s="45"/>
      <c r="Q409" s="21">
        <f t="shared" si="33"/>
        <v>2.51</v>
      </c>
      <c r="R409" s="3"/>
    </row>
    <row r="410" s="14" customFormat="1" spans="1:18">
      <c r="A410" s="45">
        <v>114017</v>
      </c>
      <c r="B410" s="45">
        <v>114</v>
      </c>
      <c r="C410" s="47"/>
      <c r="D410" s="47"/>
      <c r="E410" s="47"/>
      <c r="F410" s="45">
        <v>17</v>
      </c>
      <c r="G410" s="21"/>
      <c r="H410" s="45"/>
      <c r="I410" s="45"/>
      <c r="J410" s="45"/>
      <c r="P410" s="45"/>
      <c r="Q410" s="21">
        <f t="shared" si="33"/>
        <v>2.72</v>
      </c>
      <c r="R410" s="3"/>
    </row>
    <row r="411" s="14" customFormat="1" spans="1:18">
      <c r="A411" s="45">
        <v>114018</v>
      </c>
      <c r="B411" s="45">
        <v>114</v>
      </c>
      <c r="C411" s="47"/>
      <c r="D411" s="47"/>
      <c r="E411" s="47"/>
      <c r="F411" s="45">
        <v>18</v>
      </c>
      <c r="G411" s="21"/>
      <c r="H411" s="45"/>
      <c r="I411" s="45"/>
      <c r="J411" s="45"/>
      <c r="P411" s="45"/>
      <c r="Q411" s="21">
        <f t="shared" si="33"/>
        <v>2.94</v>
      </c>
      <c r="R411" s="3"/>
    </row>
    <row r="412" s="14" customFormat="1" spans="1:18">
      <c r="A412" s="45">
        <v>114019</v>
      </c>
      <c r="B412" s="45">
        <v>114</v>
      </c>
      <c r="C412" s="47"/>
      <c r="D412" s="47"/>
      <c r="E412" s="47"/>
      <c r="F412" s="45">
        <v>19</v>
      </c>
      <c r="G412" s="21"/>
      <c r="H412" s="45"/>
      <c r="I412" s="45"/>
      <c r="J412" s="45"/>
      <c r="P412" s="45"/>
      <c r="Q412" s="21">
        <f t="shared" si="33"/>
        <v>3.18</v>
      </c>
      <c r="R412" s="3"/>
    </row>
    <row r="413" s="14" customFormat="1" spans="1:18">
      <c r="A413" s="45">
        <v>114020</v>
      </c>
      <c r="B413" s="45">
        <v>114</v>
      </c>
      <c r="C413" s="47"/>
      <c r="D413" s="47"/>
      <c r="E413" s="47"/>
      <c r="F413" s="45">
        <v>20</v>
      </c>
      <c r="G413" s="21"/>
      <c r="H413" s="45"/>
      <c r="I413" s="45"/>
      <c r="J413" s="45"/>
      <c r="P413" s="45"/>
      <c r="Q413" s="21">
        <f t="shared" si="33"/>
        <v>3.44</v>
      </c>
      <c r="R413" s="3"/>
    </row>
    <row r="414" s="15" customFormat="1" spans="1:18">
      <c r="A414" s="45">
        <v>114021</v>
      </c>
      <c r="B414" s="45">
        <v>114</v>
      </c>
      <c r="C414" s="48"/>
      <c r="D414" s="48"/>
      <c r="E414" s="48"/>
      <c r="F414" s="45">
        <v>21</v>
      </c>
      <c r="G414" s="21"/>
      <c r="H414" s="49"/>
      <c r="I414" s="49"/>
      <c r="J414" s="49"/>
      <c r="P414" s="49"/>
      <c r="Q414" s="21">
        <f t="shared" ref="Q414:Q423" si="34">ROUNDUP(Q413*1.08,2)</f>
        <v>3.72</v>
      </c>
      <c r="R414" s="3"/>
    </row>
    <row r="415" s="15" customFormat="1" spans="1:18">
      <c r="A415" s="45">
        <v>114022</v>
      </c>
      <c r="B415" s="45">
        <v>114</v>
      </c>
      <c r="C415" s="48"/>
      <c r="D415" s="48"/>
      <c r="E415" s="48"/>
      <c r="F415" s="45">
        <v>22</v>
      </c>
      <c r="G415" s="21"/>
      <c r="H415" s="49"/>
      <c r="I415" s="49"/>
      <c r="J415" s="49"/>
      <c r="P415" s="49"/>
      <c r="Q415" s="21">
        <f t="shared" si="34"/>
        <v>4.02</v>
      </c>
      <c r="R415" s="3"/>
    </row>
    <row r="416" s="15" customFormat="1" spans="1:18">
      <c r="A416" s="45">
        <v>114023</v>
      </c>
      <c r="B416" s="45">
        <v>114</v>
      </c>
      <c r="C416" s="48"/>
      <c r="D416" s="48"/>
      <c r="E416" s="48"/>
      <c r="F416" s="45">
        <v>23</v>
      </c>
      <c r="G416" s="21"/>
      <c r="H416" s="49"/>
      <c r="I416" s="49"/>
      <c r="J416" s="49"/>
      <c r="P416" s="49"/>
      <c r="Q416" s="21">
        <f t="shared" si="34"/>
        <v>4.35</v>
      </c>
      <c r="R416" s="3"/>
    </row>
    <row r="417" s="15" customFormat="1" spans="1:18">
      <c r="A417" s="45">
        <v>114024</v>
      </c>
      <c r="B417" s="45">
        <v>114</v>
      </c>
      <c r="C417" s="48"/>
      <c r="D417" s="48"/>
      <c r="E417" s="48"/>
      <c r="F417" s="45">
        <v>24</v>
      </c>
      <c r="G417" s="21"/>
      <c r="H417" s="49"/>
      <c r="I417" s="49"/>
      <c r="J417" s="49"/>
      <c r="P417" s="49"/>
      <c r="Q417" s="21">
        <f t="shared" si="34"/>
        <v>4.7</v>
      </c>
      <c r="R417" s="3"/>
    </row>
    <row r="418" s="15" customFormat="1" spans="1:18">
      <c r="A418" s="45">
        <v>114025</v>
      </c>
      <c r="B418" s="45">
        <v>114</v>
      </c>
      <c r="C418" s="48"/>
      <c r="D418" s="48"/>
      <c r="E418" s="48"/>
      <c r="F418" s="45">
        <v>25</v>
      </c>
      <c r="G418" s="21"/>
      <c r="H418" s="49"/>
      <c r="I418" s="49"/>
      <c r="J418" s="49"/>
      <c r="P418" s="49"/>
      <c r="Q418" s="21">
        <f t="shared" si="34"/>
        <v>5.08</v>
      </c>
      <c r="R418" s="3"/>
    </row>
    <row r="419" s="15" customFormat="1" spans="1:18">
      <c r="A419" s="45">
        <v>114026</v>
      </c>
      <c r="B419" s="45">
        <v>114</v>
      </c>
      <c r="C419" s="48"/>
      <c r="D419" s="48"/>
      <c r="E419" s="48"/>
      <c r="F419" s="45">
        <v>26</v>
      </c>
      <c r="G419" s="21"/>
      <c r="H419" s="49"/>
      <c r="I419" s="49"/>
      <c r="J419" s="49"/>
      <c r="P419" s="49"/>
      <c r="Q419" s="21">
        <f t="shared" si="34"/>
        <v>5.49</v>
      </c>
      <c r="R419" s="3"/>
    </row>
    <row r="420" s="15" customFormat="1" spans="1:18">
      <c r="A420" s="45">
        <v>114027</v>
      </c>
      <c r="B420" s="45">
        <v>114</v>
      </c>
      <c r="C420" s="48"/>
      <c r="D420" s="48"/>
      <c r="E420" s="48"/>
      <c r="F420" s="45">
        <v>27</v>
      </c>
      <c r="G420" s="21"/>
      <c r="H420" s="49"/>
      <c r="I420" s="49"/>
      <c r="J420" s="49"/>
      <c r="P420" s="49"/>
      <c r="Q420" s="21">
        <f t="shared" si="34"/>
        <v>5.93</v>
      </c>
      <c r="R420" s="3"/>
    </row>
    <row r="421" s="15" customFormat="1" spans="1:18">
      <c r="A421" s="45">
        <v>114028</v>
      </c>
      <c r="B421" s="45">
        <v>114</v>
      </c>
      <c r="C421" s="48"/>
      <c r="D421" s="48"/>
      <c r="E421" s="48"/>
      <c r="F421" s="45">
        <v>28</v>
      </c>
      <c r="G421" s="21"/>
      <c r="H421" s="49"/>
      <c r="I421" s="49"/>
      <c r="J421" s="49"/>
      <c r="P421" s="49"/>
      <c r="Q421" s="21">
        <f t="shared" si="34"/>
        <v>6.41</v>
      </c>
      <c r="R421" s="3"/>
    </row>
    <row r="422" s="15" customFormat="1" spans="1:18">
      <c r="A422" s="45">
        <v>114029</v>
      </c>
      <c r="B422" s="45">
        <v>114</v>
      </c>
      <c r="C422" s="48"/>
      <c r="D422" s="48"/>
      <c r="E422" s="48"/>
      <c r="F422" s="45">
        <v>29</v>
      </c>
      <c r="G422" s="21"/>
      <c r="H422" s="49"/>
      <c r="I422" s="49"/>
      <c r="J422" s="49"/>
      <c r="P422" s="49"/>
      <c r="Q422" s="21">
        <f t="shared" si="34"/>
        <v>6.93</v>
      </c>
      <c r="R422" s="3"/>
    </row>
    <row r="423" s="15" customFormat="1" spans="1:18">
      <c r="A423" s="45">
        <v>114030</v>
      </c>
      <c r="B423" s="45">
        <v>114</v>
      </c>
      <c r="C423" s="48"/>
      <c r="D423" s="48"/>
      <c r="E423" s="48"/>
      <c r="F423" s="45">
        <v>30</v>
      </c>
      <c r="G423" s="21"/>
      <c r="H423" s="49"/>
      <c r="I423" s="49"/>
      <c r="J423" s="49"/>
      <c r="P423" s="49"/>
      <c r="Q423" s="21">
        <f t="shared" si="34"/>
        <v>7.49</v>
      </c>
      <c r="R423" s="3"/>
    </row>
    <row r="424" s="15" customFormat="1" spans="1:18">
      <c r="A424" s="49">
        <v>115001</v>
      </c>
      <c r="B424" s="49">
        <v>115</v>
      </c>
      <c r="C424" s="48" t="s">
        <v>76</v>
      </c>
      <c r="D424" s="48" t="s">
        <v>77</v>
      </c>
      <c r="E424" s="48" t="s">
        <v>78</v>
      </c>
      <c r="F424" s="49">
        <v>1.5</v>
      </c>
      <c r="G424" s="21">
        <v>0</v>
      </c>
      <c r="H424" s="49">
        <v>8</v>
      </c>
      <c r="I424" s="49">
        <v>4</v>
      </c>
      <c r="J424" s="49">
        <v>800</v>
      </c>
      <c r="P424" s="49">
        <v>100</v>
      </c>
      <c r="Q424" s="49">
        <v>1.5</v>
      </c>
      <c r="R424" s="3"/>
    </row>
    <row r="425" s="15" customFormat="1" spans="1:18">
      <c r="A425" s="49">
        <v>115002</v>
      </c>
      <c r="B425" s="49">
        <v>115</v>
      </c>
      <c r="C425" s="48"/>
      <c r="D425" s="48"/>
      <c r="E425" s="48"/>
      <c r="F425" s="49">
        <v>2</v>
      </c>
      <c r="G425" s="21"/>
      <c r="H425" s="49"/>
      <c r="I425" s="49"/>
      <c r="J425" s="49"/>
      <c r="P425" s="49"/>
      <c r="Q425" s="21">
        <f>ROUNDUP(Q424*1.08,2)</f>
        <v>1.62</v>
      </c>
      <c r="R425" s="3"/>
    </row>
    <row r="426" s="15" customFormat="1" spans="1:18">
      <c r="A426" s="49">
        <v>115003</v>
      </c>
      <c r="B426" s="49">
        <v>115</v>
      </c>
      <c r="C426" s="48"/>
      <c r="D426" s="48"/>
      <c r="E426" s="48"/>
      <c r="F426" s="49">
        <v>3</v>
      </c>
      <c r="G426" s="21"/>
      <c r="H426" s="49"/>
      <c r="I426" s="49"/>
      <c r="J426" s="49"/>
      <c r="P426" s="49"/>
      <c r="Q426" s="21">
        <f t="shared" ref="Q426:Q443" si="35">ROUNDUP(Q425*1.08,2)</f>
        <v>1.75</v>
      </c>
      <c r="R426" s="3"/>
    </row>
    <row r="427" s="15" customFormat="1" spans="1:18">
      <c r="A427" s="49">
        <v>115004</v>
      </c>
      <c r="B427" s="49">
        <v>115</v>
      </c>
      <c r="C427" s="48"/>
      <c r="D427" s="48"/>
      <c r="E427" s="48"/>
      <c r="F427" s="49">
        <v>4</v>
      </c>
      <c r="G427" s="21"/>
      <c r="H427" s="49"/>
      <c r="I427" s="49"/>
      <c r="J427" s="49"/>
      <c r="P427" s="49"/>
      <c r="Q427" s="21">
        <f t="shared" si="35"/>
        <v>1.89</v>
      </c>
      <c r="R427" s="3"/>
    </row>
    <row r="428" s="15" customFormat="1" spans="1:18">
      <c r="A428" s="49">
        <v>115005</v>
      </c>
      <c r="B428" s="49">
        <v>115</v>
      </c>
      <c r="C428" s="48"/>
      <c r="D428" s="48"/>
      <c r="E428" s="48"/>
      <c r="F428" s="49">
        <v>5</v>
      </c>
      <c r="G428" s="21"/>
      <c r="H428" s="49"/>
      <c r="I428" s="49"/>
      <c r="J428" s="49"/>
      <c r="P428" s="49"/>
      <c r="Q428" s="21">
        <f t="shared" si="35"/>
        <v>2.05</v>
      </c>
      <c r="R428" s="3"/>
    </row>
    <row r="429" s="15" customFormat="1" spans="1:18">
      <c r="A429" s="49">
        <v>115006</v>
      </c>
      <c r="B429" s="49">
        <v>115</v>
      </c>
      <c r="C429" s="48"/>
      <c r="D429" s="48"/>
      <c r="E429" s="48"/>
      <c r="F429" s="49">
        <v>6</v>
      </c>
      <c r="G429" s="21"/>
      <c r="H429" s="49"/>
      <c r="I429" s="49"/>
      <c r="J429" s="49"/>
      <c r="P429" s="49"/>
      <c r="Q429" s="21">
        <f t="shared" si="35"/>
        <v>2.22</v>
      </c>
      <c r="R429" s="3"/>
    </row>
    <row r="430" s="15" customFormat="1" spans="1:18">
      <c r="A430" s="49">
        <v>115007</v>
      </c>
      <c r="B430" s="49">
        <v>115</v>
      </c>
      <c r="C430" s="48"/>
      <c r="D430" s="48"/>
      <c r="E430" s="48"/>
      <c r="F430" s="49">
        <v>7</v>
      </c>
      <c r="G430" s="21"/>
      <c r="H430" s="49"/>
      <c r="I430" s="49"/>
      <c r="J430" s="49"/>
      <c r="P430" s="49"/>
      <c r="Q430" s="21">
        <f t="shared" si="35"/>
        <v>2.4</v>
      </c>
      <c r="R430" s="3"/>
    </row>
    <row r="431" s="15" customFormat="1" spans="1:18">
      <c r="A431" s="49">
        <v>115008</v>
      </c>
      <c r="B431" s="49">
        <v>115</v>
      </c>
      <c r="C431" s="48"/>
      <c r="D431" s="48"/>
      <c r="E431" s="48"/>
      <c r="F431" s="49">
        <v>8</v>
      </c>
      <c r="G431" s="21"/>
      <c r="H431" s="49"/>
      <c r="I431" s="49"/>
      <c r="J431" s="49"/>
      <c r="P431" s="49"/>
      <c r="Q431" s="21">
        <f t="shared" si="35"/>
        <v>2.6</v>
      </c>
      <c r="R431" s="3"/>
    </row>
    <row r="432" s="15" customFormat="1" spans="1:18">
      <c r="A432" s="49">
        <v>115009</v>
      </c>
      <c r="B432" s="49">
        <v>115</v>
      </c>
      <c r="C432" s="48"/>
      <c r="D432" s="48"/>
      <c r="E432" s="48"/>
      <c r="F432" s="49">
        <v>9</v>
      </c>
      <c r="G432" s="21"/>
      <c r="H432" s="49"/>
      <c r="I432" s="49"/>
      <c r="J432" s="49"/>
      <c r="P432" s="49"/>
      <c r="Q432" s="21">
        <f t="shared" si="35"/>
        <v>2.81</v>
      </c>
      <c r="R432" s="3"/>
    </row>
    <row r="433" s="15" customFormat="1" spans="1:18">
      <c r="A433" s="49">
        <v>115010</v>
      </c>
      <c r="B433" s="49">
        <v>115</v>
      </c>
      <c r="C433" s="48"/>
      <c r="D433" s="48"/>
      <c r="E433" s="48"/>
      <c r="F433" s="49">
        <v>10</v>
      </c>
      <c r="G433" s="21"/>
      <c r="H433" s="49"/>
      <c r="I433" s="49"/>
      <c r="J433" s="49"/>
      <c r="P433" s="49"/>
      <c r="Q433" s="21">
        <f t="shared" si="35"/>
        <v>3.04</v>
      </c>
      <c r="R433" s="3"/>
    </row>
    <row r="434" s="15" customFormat="1" spans="1:18">
      <c r="A434" s="49">
        <v>115011</v>
      </c>
      <c r="B434" s="49">
        <v>115</v>
      </c>
      <c r="C434" s="48"/>
      <c r="D434" s="48"/>
      <c r="E434" s="48"/>
      <c r="F434" s="49">
        <v>11</v>
      </c>
      <c r="G434" s="21"/>
      <c r="H434" s="49"/>
      <c r="I434" s="49"/>
      <c r="J434" s="49"/>
      <c r="P434" s="49"/>
      <c r="Q434" s="21">
        <f t="shared" si="35"/>
        <v>3.29</v>
      </c>
      <c r="R434" s="3"/>
    </row>
    <row r="435" s="15" customFormat="1" spans="1:18">
      <c r="A435" s="49">
        <v>115012</v>
      </c>
      <c r="B435" s="49">
        <v>115</v>
      </c>
      <c r="C435" s="48"/>
      <c r="D435" s="48"/>
      <c r="E435" s="48"/>
      <c r="F435" s="49">
        <v>12</v>
      </c>
      <c r="G435" s="21"/>
      <c r="H435" s="49"/>
      <c r="I435" s="49"/>
      <c r="J435" s="49"/>
      <c r="P435" s="49"/>
      <c r="Q435" s="21">
        <f t="shared" si="35"/>
        <v>3.56</v>
      </c>
      <c r="R435" s="3"/>
    </row>
    <row r="436" s="15" customFormat="1" spans="1:18">
      <c r="A436" s="49">
        <v>115013</v>
      </c>
      <c r="B436" s="49">
        <v>115</v>
      </c>
      <c r="C436" s="48"/>
      <c r="D436" s="48"/>
      <c r="E436" s="48"/>
      <c r="F436" s="49">
        <v>13</v>
      </c>
      <c r="G436" s="21"/>
      <c r="H436" s="49"/>
      <c r="I436" s="49"/>
      <c r="J436" s="49"/>
      <c r="P436" s="49"/>
      <c r="Q436" s="21">
        <f t="shared" si="35"/>
        <v>3.85</v>
      </c>
      <c r="R436" s="3"/>
    </row>
    <row r="437" s="15" customFormat="1" spans="1:18">
      <c r="A437" s="49">
        <v>115014</v>
      </c>
      <c r="B437" s="49">
        <v>115</v>
      </c>
      <c r="C437" s="48"/>
      <c r="D437" s="48"/>
      <c r="E437" s="48"/>
      <c r="F437" s="49">
        <v>14</v>
      </c>
      <c r="G437" s="21"/>
      <c r="H437" s="49"/>
      <c r="I437" s="49"/>
      <c r="J437" s="49"/>
      <c r="P437" s="49"/>
      <c r="Q437" s="21">
        <f t="shared" si="35"/>
        <v>4.16</v>
      </c>
      <c r="R437" s="3"/>
    </row>
    <row r="438" s="15" customFormat="1" spans="1:18">
      <c r="A438" s="49">
        <v>115015</v>
      </c>
      <c r="B438" s="49">
        <v>115</v>
      </c>
      <c r="C438" s="48"/>
      <c r="D438" s="48"/>
      <c r="E438" s="48"/>
      <c r="F438" s="49">
        <v>15</v>
      </c>
      <c r="G438" s="21"/>
      <c r="H438" s="49"/>
      <c r="I438" s="49"/>
      <c r="J438" s="49"/>
      <c r="P438" s="49"/>
      <c r="Q438" s="21">
        <f t="shared" si="35"/>
        <v>4.5</v>
      </c>
      <c r="R438" s="3"/>
    </row>
    <row r="439" s="15" customFormat="1" spans="1:18">
      <c r="A439" s="49">
        <v>115016</v>
      </c>
      <c r="B439" s="49">
        <v>115</v>
      </c>
      <c r="C439" s="48"/>
      <c r="D439" s="48"/>
      <c r="E439" s="48"/>
      <c r="F439" s="49">
        <v>16</v>
      </c>
      <c r="G439" s="21"/>
      <c r="H439" s="49"/>
      <c r="I439" s="49"/>
      <c r="J439" s="49"/>
      <c r="P439" s="49"/>
      <c r="Q439" s="21">
        <f t="shared" si="35"/>
        <v>4.86</v>
      </c>
      <c r="R439" s="3"/>
    </row>
    <row r="440" s="15" customFormat="1" spans="1:18">
      <c r="A440" s="49">
        <v>115017</v>
      </c>
      <c r="B440" s="49">
        <v>115</v>
      </c>
      <c r="C440" s="48"/>
      <c r="D440" s="48"/>
      <c r="E440" s="48"/>
      <c r="F440" s="49">
        <v>17</v>
      </c>
      <c r="G440" s="21"/>
      <c r="H440" s="49"/>
      <c r="I440" s="49"/>
      <c r="J440" s="49"/>
      <c r="P440" s="49"/>
      <c r="Q440" s="21">
        <f t="shared" si="35"/>
        <v>5.25</v>
      </c>
      <c r="R440" s="3"/>
    </row>
    <row r="441" s="15" customFormat="1" spans="1:18">
      <c r="A441" s="49">
        <v>115018</v>
      </c>
      <c r="B441" s="49">
        <v>115</v>
      </c>
      <c r="C441" s="48"/>
      <c r="D441" s="48"/>
      <c r="E441" s="48"/>
      <c r="F441" s="49">
        <v>18</v>
      </c>
      <c r="G441" s="21"/>
      <c r="H441" s="49"/>
      <c r="I441" s="49"/>
      <c r="J441" s="49"/>
      <c r="P441" s="49"/>
      <c r="Q441" s="21">
        <f t="shared" si="35"/>
        <v>5.67</v>
      </c>
      <c r="R441" s="3"/>
    </row>
    <row r="442" s="15" customFormat="1" spans="1:18">
      <c r="A442" s="49">
        <v>115019</v>
      </c>
      <c r="B442" s="49">
        <v>115</v>
      </c>
      <c r="C442" s="48"/>
      <c r="D442" s="48"/>
      <c r="E442" s="48"/>
      <c r="F442" s="49">
        <v>19</v>
      </c>
      <c r="G442" s="21"/>
      <c r="H442" s="49"/>
      <c r="I442" s="49"/>
      <c r="J442" s="49"/>
      <c r="P442" s="49"/>
      <c r="Q442" s="21">
        <f t="shared" si="35"/>
        <v>6.13</v>
      </c>
      <c r="R442" s="3"/>
    </row>
    <row r="443" s="15" customFormat="1" spans="1:18">
      <c r="A443" s="49">
        <v>115020</v>
      </c>
      <c r="B443" s="49">
        <v>115</v>
      </c>
      <c r="C443" s="48"/>
      <c r="D443" s="48"/>
      <c r="E443" s="48"/>
      <c r="F443" s="49">
        <v>20</v>
      </c>
      <c r="G443" s="21"/>
      <c r="H443" s="49"/>
      <c r="I443" s="49"/>
      <c r="J443" s="49"/>
      <c r="P443" s="49"/>
      <c r="Q443" s="21">
        <f t="shared" si="35"/>
        <v>6.63</v>
      </c>
      <c r="R443" s="3"/>
    </row>
    <row r="444" customFormat="1" spans="1:18">
      <c r="A444" s="49">
        <v>115021</v>
      </c>
      <c r="B444" s="49">
        <v>115</v>
      </c>
      <c r="C444" s="50"/>
      <c r="D444" s="50"/>
      <c r="E444" s="50"/>
      <c r="F444" s="49">
        <v>21</v>
      </c>
      <c r="G444" s="21"/>
      <c r="Q444" s="21">
        <f t="shared" ref="Q444:Q453" si="36">ROUNDUP(Q443*1.08,2)</f>
        <v>7.17</v>
      </c>
      <c r="R444" s="3"/>
    </row>
    <row r="445" customFormat="1" spans="1:18">
      <c r="A445" s="49">
        <v>115022</v>
      </c>
      <c r="B445" s="49">
        <v>115</v>
      </c>
      <c r="C445" s="50"/>
      <c r="D445" s="50"/>
      <c r="E445" s="50"/>
      <c r="F445" s="49">
        <v>22</v>
      </c>
      <c r="G445" s="21"/>
      <c r="Q445" s="21">
        <f t="shared" si="36"/>
        <v>7.75</v>
      </c>
      <c r="R445" s="3"/>
    </row>
    <row r="446" customFormat="1" spans="1:18">
      <c r="A446" s="49">
        <v>115023</v>
      </c>
      <c r="B446" s="49">
        <v>115</v>
      </c>
      <c r="C446" s="50"/>
      <c r="D446" s="50"/>
      <c r="E446" s="50"/>
      <c r="F446" s="49">
        <v>23</v>
      </c>
      <c r="G446" s="21"/>
      <c r="Q446" s="21">
        <f t="shared" si="36"/>
        <v>8.37</v>
      </c>
      <c r="R446" s="3"/>
    </row>
    <row r="447" customFormat="1" spans="1:18">
      <c r="A447" s="49">
        <v>115024</v>
      </c>
      <c r="B447" s="49">
        <v>115</v>
      </c>
      <c r="C447" s="50"/>
      <c r="D447" s="50"/>
      <c r="E447" s="50"/>
      <c r="F447" s="49">
        <v>24</v>
      </c>
      <c r="G447" s="21"/>
      <c r="Q447" s="21">
        <f t="shared" si="36"/>
        <v>9.04</v>
      </c>
      <c r="R447" s="3"/>
    </row>
    <row r="448" customFormat="1" spans="1:18">
      <c r="A448" s="49">
        <v>115025</v>
      </c>
      <c r="B448" s="49">
        <v>115</v>
      </c>
      <c r="C448" s="50"/>
      <c r="D448" s="50"/>
      <c r="E448" s="50"/>
      <c r="F448" s="49">
        <v>25</v>
      </c>
      <c r="G448" s="21"/>
      <c r="Q448" s="21">
        <f t="shared" si="36"/>
        <v>9.77</v>
      </c>
      <c r="R448" s="3"/>
    </row>
    <row r="449" customFormat="1" spans="1:18">
      <c r="A449" s="49">
        <v>115026</v>
      </c>
      <c r="B449" s="49">
        <v>115</v>
      </c>
      <c r="C449" s="50"/>
      <c r="D449" s="50"/>
      <c r="E449" s="50"/>
      <c r="F449" s="49">
        <v>26</v>
      </c>
      <c r="G449" s="21"/>
      <c r="Q449" s="21">
        <f t="shared" si="36"/>
        <v>10.56</v>
      </c>
      <c r="R449" s="3"/>
    </row>
    <row r="450" customFormat="1" spans="1:18">
      <c r="A450" s="49">
        <v>115027</v>
      </c>
      <c r="B450" s="49">
        <v>115</v>
      </c>
      <c r="C450" s="50"/>
      <c r="D450" s="50"/>
      <c r="E450" s="50"/>
      <c r="F450" s="49">
        <v>27</v>
      </c>
      <c r="G450" s="21"/>
      <c r="Q450" s="21">
        <f t="shared" si="36"/>
        <v>11.41</v>
      </c>
      <c r="R450" s="3"/>
    </row>
    <row r="451" customFormat="1" spans="1:18">
      <c r="A451" s="49">
        <v>115028</v>
      </c>
      <c r="B451" s="49">
        <v>115</v>
      </c>
      <c r="C451" s="50"/>
      <c r="D451" s="50"/>
      <c r="E451" s="50"/>
      <c r="F451" s="49">
        <v>28</v>
      </c>
      <c r="G451" s="21"/>
      <c r="Q451" s="21">
        <f t="shared" si="36"/>
        <v>12.33</v>
      </c>
      <c r="R451" s="3"/>
    </row>
    <row r="452" customFormat="1" spans="1:18">
      <c r="A452" s="49">
        <v>115029</v>
      </c>
      <c r="B452" s="49">
        <v>115</v>
      </c>
      <c r="C452" s="50"/>
      <c r="D452" s="50"/>
      <c r="E452" s="50"/>
      <c r="F452" s="49">
        <v>29</v>
      </c>
      <c r="G452" s="21"/>
      <c r="Q452" s="21">
        <f t="shared" si="36"/>
        <v>13.32</v>
      </c>
      <c r="R452" s="3"/>
    </row>
    <row r="453" customFormat="1" spans="1:18">
      <c r="A453" s="49">
        <v>115030</v>
      </c>
      <c r="B453" s="49">
        <v>115</v>
      </c>
      <c r="C453" s="50"/>
      <c r="D453" s="50"/>
      <c r="E453" s="50"/>
      <c r="F453" s="49">
        <v>30</v>
      </c>
      <c r="G453" s="21"/>
      <c r="Q453" s="21">
        <f t="shared" si="36"/>
        <v>14.39</v>
      </c>
      <c r="R453" s="3"/>
    </row>
    <row r="454" spans="1:18">
      <c r="A454">
        <v>116001</v>
      </c>
      <c r="B454">
        <v>116</v>
      </c>
      <c r="C454" s="50" t="s">
        <v>79</v>
      </c>
      <c r="D454" s="50" t="s">
        <v>80</v>
      </c>
      <c r="E454" s="50" t="s">
        <v>81</v>
      </c>
      <c r="F454">
        <v>1.5</v>
      </c>
      <c r="G454" s="21">
        <v>0</v>
      </c>
      <c r="H454">
        <v>8</v>
      </c>
      <c r="I454">
        <v>4</v>
      </c>
      <c r="J454">
        <v>800</v>
      </c>
      <c r="P454">
        <v>100</v>
      </c>
      <c r="Q454">
        <v>1.5</v>
      </c>
      <c r="R454" s="3"/>
    </row>
    <row r="455" spans="1:18">
      <c r="A455">
        <v>116002</v>
      </c>
      <c r="B455">
        <v>116</v>
      </c>
      <c r="C455" s="50"/>
      <c r="D455" s="50"/>
      <c r="E455" s="50"/>
      <c r="F455">
        <v>2</v>
      </c>
      <c r="G455" s="21"/>
      <c r="Q455" s="21">
        <f>ROUNDUP(Q454*1.08,2)</f>
        <v>1.62</v>
      </c>
      <c r="R455" s="3"/>
    </row>
    <row r="456" spans="1:18">
      <c r="A456">
        <v>116003</v>
      </c>
      <c r="B456">
        <v>116</v>
      </c>
      <c r="C456" s="50"/>
      <c r="D456" s="50"/>
      <c r="E456" s="50"/>
      <c r="F456">
        <v>3</v>
      </c>
      <c r="G456" s="21"/>
      <c r="Q456" s="21">
        <f t="shared" ref="Q456:Q473" si="37">ROUNDUP(Q455*1.08,2)</f>
        <v>1.75</v>
      </c>
      <c r="R456" s="3"/>
    </row>
    <row r="457" spans="1:18">
      <c r="A457">
        <v>116004</v>
      </c>
      <c r="B457">
        <v>116</v>
      </c>
      <c r="C457" s="50"/>
      <c r="D457" s="50"/>
      <c r="E457" s="50"/>
      <c r="F457">
        <v>4</v>
      </c>
      <c r="G457" s="21"/>
      <c r="Q457" s="21">
        <f t="shared" si="37"/>
        <v>1.89</v>
      </c>
      <c r="R457" s="3"/>
    </row>
    <row r="458" spans="1:18">
      <c r="A458">
        <v>116005</v>
      </c>
      <c r="B458">
        <v>116</v>
      </c>
      <c r="C458" s="50"/>
      <c r="D458" s="50"/>
      <c r="E458" s="50"/>
      <c r="F458">
        <v>5</v>
      </c>
      <c r="G458" s="21"/>
      <c r="Q458" s="21">
        <f t="shared" si="37"/>
        <v>2.05</v>
      </c>
      <c r="R458" s="3"/>
    </row>
    <row r="459" spans="1:18">
      <c r="A459">
        <v>116006</v>
      </c>
      <c r="B459">
        <v>116</v>
      </c>
      <c r="C459" s="50"/>
      <c r="D459" s="50"/>
      <c r="E459" s="50"/>
      <c r="F459">
        <v>6</v>
      </c>
      <c r="G459" s="21"/>
      <c r="Q459" s="21">
        <f t="shared" si="37"/>
        <v>2.22</v>
      </c>
      <c r="R459" s="3"/>
    </row>
    <row r="460" spans="1:18">
      <c r="A460">
        <v>116007</v>
      </c>
      <c r="B460">
        <v>116</v>
      </c>
      <c r="C460" s="50"/>
      <c r="D460" s="50"/>
      <c r="E460" s="50"/>
      <c r="F460">
        <v>7</v>
      </c>
      <c r="G460" s="21"/>
      <c r="Q460" s="21">
        <f t="shared" si="37"/>
        <v>2.4</v>
      </c>
      <c r="R460" s="3"/>
    </row>
    <row r="461" spans="1:18">
      <c r="A461">
        <v>116008</v>
      </c>
      <c r="B461">
        <v>116</v>
      </c>
      <c r="C461" s="50"/>
      <c r="D461" s="50"/>
      <c r="E461" s="50"/>
      <c r="F461">
        <v>8</v>
      </c>
      <c r="G461" s="21"/>
      <c r="Q461" s="21">
        <f t="shared" si="37"/>
        <v>2.6</v>
      </c>
      <c r="R461" s="3"/>
    </row>
    <row r="462" spans="1:18">
      <c r="A462">
        <v>116009</v>
      </c>
      <c r="B462">
        <v>116</v>
      </c>
      <c r="C462" s="50"/>
      <c r="D462" s="50"/>
      <c r="E462" s="50"/>
      <c r="F462">
        <v>9</v>
      </c>
      <c r="G462" s="21"/>
      <c r="Q462" s="21">
        <f t="shared" si="37"/>
        <v>2.81</v>
      </c>
      <c r="R462" s="3"/>
    </row>
    <row r="463" spans="1:18">
      <c r="A463">
        <v>116010</v>
      </c>
      <c r="B463">
        <v>116</v>
      </c>
      <c r="C463" s="50"/>
      <c r="D463" s="50"/>
      <c r="E463" s="50"/>
      <c r="F463">
        <v>10</v>
      </c>
      <c r="G463" s="21"/>
      <c r="Q463" s="21">
        <f t="shared" si="37"/>
        <v>3.04</v>
      </c>
      <c r="R463" s="3"/>
    </row>
    <row r="464" spans="1:18">
      <c r="A464">
        <v>116011</v>
      </c>
      <c r="B464">
        <v>116</v>
      </c>
      <c r="C464" s="50"/>
      <c r="D464" s="50"/>
      <c r="E464" s="50"/>
      <c r="F464">
        <v>11</v>
      </c>
      <c r="G464" s="21"/>
      <c r="Q464" s="21">
        <f t="shared" si="37"/>
        <v>3.29</v>
      </c>
      <c r="R464" s="3"/>
    </row>
    <row r="465" spans="1:18">
      <c r="A465">
        <v>116012</v>
      </c>
      <c r="B465">
        <v>116</v>
      </c>
      <c r="C465" s="50"/>
      <c r="D465" s="50"/>
      <c r="E465" s="50"/>
      <c r="F465">
        <v>12</v>
      </c>
      <c r="G465" s="21"/>
      <c r="Q465" s="21">
        <f t="shared" si="37"/>
        <v>3.56</v>
      </c>
      <c r="R465" s="3"/>
    </row>
    <row r="466" spans="1:18">
      <c r="A466">
        <v>116013</v>
      </c>
      <c r="B466">
        <v>116</v>
      </c>
      <c r="C466" s="50"/>
      <c r="D466" s="50"/>
      <c r="E466" s="50"/>
      <c r="F466">
        <v>13</v>
      </c>
      <c r="G466" s="21"/>
      <c r="Q466" s="21">
        <f t="shared" si="37"/>
        <v>3.85</v>
      </c>
      <c r="R466" s="3"/>
    </row>
    <row r="467" spans="1:18">
      <c r="A467">
        <v>116014</v>
      </c>
      <c r="B467">
        <v>116</v>
      </c>
      <c r="C467" s="50"/>
      <c r="D467" s="50"/>
      <c r="E467" s="50"/>
      <c r="F467">
        <v>14</v>
      </c>
      <c r="G467" s="21"/>
      <c r="Q467" s="21">
        <f t="shared" si="37"/>
        <v>4.16</v>
      </c>
      <c r="R467" s="3"/>
    </row>
    <row r="468" spans="1:18">
      <c r="A468">
        <v>116015</v>
      </c>
      <c r="B468">
        <v>116</v>
      </c>
      <c r="C468" s="50"/>
      <c r="D468" s="50"/>
      <c r="E468" s="50"/>
      <c r="F468">
        <v>15</v>
      </c>
      <c r="G468" s="21"/>
      <c r="Q468" s="21">
        <f t="shared" si="37"/>
        <v>4.5</v>
      </c>
      <c r="R468" s="3"/>
    </row>
    <row r="469" spans="1:18">
      <c r="A469">
        <v>116016</v>
      </c>
      <c r="B469">
        <v>116</v>
      </c>
      <c r="C469" s="50"/>
      <c r="D469" s="50"/>
      <c r="E469" s="50"/>
      <c r="F469">
        <v>16</v>
      </c>
      <c r="G469" s="21"/>
      <c r="Q469" s="21">
        <f t="shared" si="37"/>
        <v>4.86</v>
      </c>
      <c r="R469" s="3"/>
    </row>
    <row r="470" spans="1:18">
      <c r="A470">
        <v>116017</v>
      </c>
      <c r="B470">
        <v>116</v>
      </c>
      <c r="C470" s="50"/>
      <c r="D470" s="50"/>
      <c r="E470" s="50"/>
      <c r="F470">
        <v>17</v>
      </c>
      <c r="G470" s="21"/>
      <c r="Q470" s="21">
        <f t="shared" si="37"/>
        <v>5.25</v>
      </c>
      <c r="R470" s="3"/>
    </row>
    <row r="471" spans="1:18">
      <c r="A471">
        <v>116018</v>
      </c>
      <c r="B471">
        <v>116</v>
      </c>
      <c r="C471" s="50"/>
      <c r="D471" s="50"/>
      <c r="E471" s="50"/>
      <c r="F471">
        <v>18</v>
      </c>
      <c r="G471" s="21"/>
      <c r="Q471" s="21">
        <f t="shared" si="37"/>
        <v>5.67</v>
      </c>
      <c r="R471" s="3"/>
    </row>
    <row r="472" spans="1:18">
      <c r="A472">
        <v>116019</v>
      </c>
      <c r="B472">
        <v>116</v>
      </c>
      <c r="C472" s="50"/>
      <c r="D472" s="50"/>
      <c r="E472" s="50"/>
      <c r="F472">
        <v>19</v>
      </c>
      <c r="G472" s="21"/>
      <c r="Q472" s="21">
        <f t="shared" si="37"/>
        <v>6.13</v>
      </c>
      <c r="R472" s="3"/>
    </row>
    <row r="473" spans="1:18">
      <c r="A473">
        <v>116020</v>
      </c>
      <c r="B473">
        <v>116</v>
      </c>
      <c r="C473" s="50"/>
      <c r="D473" s="50"/>
      <c r="E473" s="50"/>
      <c r="F473">
        <v>20</v>
      </c>
      <c r="G473" s="21"/>
      <c r="Q473" s="21">
        <f t="shared" si="37"/>
        <v>6.63</v>
      </c>
      <c r="R473" s="3"/>
    </row>
    <row r="474" spans="1:18">
      <c r="A474">
        <v>116021</v>
      </c>
      <c r="B474">
        <v>116</v>
      </c>
      <c r="F474">
        <v>21</v>
      </c>
      <c r="Q474" s="21">
        <f t="shared" ref="Q474:Q483" si="38">ROUNDUP(Q473*1.08,2)</f>
        <v>7.17</v>
      </c>
    </row>
    <row r="475" spans="1:18">
      <c r="A475">
        <v>116022</v>
      </c>
      <c r="B475">
        <v>116</v>
      </c>
      <c r="F475">
        <v>22</v>
      </c>
      <c r="Q475" s="21">
        <f t="shared" si="38"/>
        <v>7.75</v>
      </c>
    </row>
    <row r="476" spans="1:18">
      <c r="A476">
        <v>116023</v>
      </c>
      <c r="B476">
        <v>116</v>
      </c>
      <c r="F476">
        <v>23</v>
      </c>
      <c r="Q476" s="21">
        <f t="shared" si="38"/>
        <v>8.37</v>
      </c>
    </row>
    <row r="477" spans="1:18">
      <c r="A477">
        <v>116024</v>
      </c>
      <c r="B477">
        <v>116</v>
      </c>
      <c r="F477">
        <v>24</v>
      </c>
      <c r="Q477" s="21">
        <f t="shared" si="38"/>
        <v>9.04</v>
      </c>
    </row>
    <row r="478" spans="1:18">
      <c r="A478">
        <v>116025</v>
      </c>
      <c r="B478">
        <v>116</v>
      </c>
      <c r="F478">
        <v>25</v>
      </c>
      <c r="Q478" s="21">
        <f t="shared" si="38"/>
        <v>9.77</v>
      </c>
    </row>
    <row r="479" spans="1:18">
      <c r="A479">
        <v>116026</v>
      </c>
      <c r="B479">
        <v>116</v>
      </c>
      <c r="F479">
        <v>26</v>
      </c>
      <c r="Q479" s="21">
        <f t="shared" si="38"/>
        <v>10.56</v>
      </c>
    </row>
    <row r="480" spans="1:18">
      <c r="A480">
        <v>116027</v>
      </c>
      <c r="B480">
        <v>116</v>
      </c>
      <c r="F480">
        <v>27</v>
      </c>
      <c r="Q480" s="21">
        <f t="shared" si="38"/>
        <v>11.41</v>
      </c>
    </row>
    <row r="481" spans="1:17">
      <c r="A481">
        <v>116028</v>
      </c>
      <c r="B481">
        <v>116</v>
      </c>
      <c r="F481">
        <v>28</v>
      </c>
      <c r="Q481" s="21">
        <f t="shared" si="38"/>
        <v>12.33</v>
      </c>
    </row>
    <row r="482" spans="1:17">
      <c r="A482">
        <v>116029</v>
      </c>
      <c r="B482">
        <v>116</v>
      </c>
      <c r="F482">
        <v>29</v>
      </c>
      <c r="Q482" s="21">
        <f t="shared" si="38"/>
        <v>13.32</v>
      </c>
    </row>
    <row r="483" spans="1:17">
      <c r="A483">
        <v>116030</v>
      </c>
      <c r="B483">
        <v>116</v>
      </c>
      <c r="F483">
        <v>30</v>
      </c>
      <c r="Q483" s="21">
        <f t="shared" si="38"/>
        <v>14.39</v>
      </c>
    </row>
  </sheetData>
  <autoFilter xmlns:etc="http://www.wps.cn/officeDocument/2017/etCustomData" ref="A3:R48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archer</cp:lastModifiedBy>
  <dcterms:created xsi:type="dcterms:W3CDTF">2025-07-31T19:49:00Z</dcterms:created>
  <dcterms:modified xsi:type="dcterms:W3CDTF">2026-05-06T06:16:19Z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03120DD29E5568E1588D8C68A54BCAB4_42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